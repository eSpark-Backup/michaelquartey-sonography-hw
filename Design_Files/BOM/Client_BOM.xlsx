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<sst xmlns="http://schemas.openxmlformats.org/spreadsheetml/2006/main" count="448" uniqueCount="318">
  <si>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</si>
  <si>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</si>
  <si>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</si>
  <si>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</si>
  <si>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</si>
  <si>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</si>
  <si>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</si>
  <si>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</si>
  <si>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</si>
  <si>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Link</t>
  </si>
  <si>
    <t>Remarks</t>
  </si>
  <si>
    <t>Capacitor</t>
  </si>
  <si>
    <t>C1, C13, C18, C23, C27, C29</t>
  </si>
  <si>
    <t>CAP CER 1UF 16V X5R 0201</t>
  </si>
  <si>
    <t>CAP-0201</t>
  </si>
  <si>
    <t>GRM033R61C105ME15D</t>
  </si>
  <si>
    <t>Murata</t>
  </si>
  <si>
    <t>1uF</t>
  </si>
  <si>
    <t>C2, C3, C8, C16, C17, C19, C24, C25, C26, C28, C30, C37, C40, C41, C42, C43, C46, C47, C48, C49</t>
  </si>
  <si>
    <t>CAP CER 0.1UF 25V X5R 0201</t>
  </si>
  <si>
    <t>GRM033R61E104KE14D</t>
  </si>
  <si>
    <t>0.1uF</t>
  </si>
  <si>
    <t>C4, C5, C6, C7, C11, C15, C22</t>
  </si>
  <si>
    <t>10uF 35V X5R 20% Pad SMD 0603</t>
  </si>
  <si>
    <t>Cap-0603</t>
  </si>
  <si>
    <t>GRM188R6YA106MA73D</t>
  </si>
  <si>
    <t>10uF</t>
  </si>
  <si>
    <t>C9, C10, C14</t>
  </si>
  <si>
    <t>10uF 25V 2.5Ω@100kHz ±10% CASE-B-3528 Tantalum Capacitors ROHS</t>
  </si>
  <si>
    <t>Case-B</t>
  </si>
  <si>
    <t>CA45-B025K106T</t>
  </si>
  <si>
    <t>Xiangyee in S&amp;T</t>
  </si>
  <si>
    <t>C12</t>
  </si>
  <si>
    <t>250V 1uF X7R ±10% 1812 Multilayer Ceramic Capacitors MLCC - SMD/SMT ROHS</t>
  </si>
  <si>
    <t>Cap-1812</t>
  </si>
  <si>
    <t>FS43X105K251EGG</t>
  </si>
  <si>
    <t>PSA</t>
  </si>
  <si>
    <t>C20</t>
  </si>
  <si>
    <t>CAP CER 2.7PF 50V C0G/NPO 0201</t>
  </si>
  <si>
    <t>CC0201CRNPO9BN2R7</t>
  </si>
  <si>
    <t>Yageo</t>
  </si>
  <si>
    <t>2.7pF</t>
  </si>
  <si>
    <t>C21</t>
  </si>
  <si>
    <t>CAP CER 4.7PF 50V C0G/NPO 0201</t>
  </si>
  <si>
    <t>CC0201BRNPO9BN4R7</t>
  </si>
  <si>
    <t>4.7pF</t>
  </si>
  <si>
    <t>C31, C32</t>
  </si>
  <si>
    <t>CAP CER 22PF 50V C0G/NP0 0201</t>
  </si>
  <si>
    <t>GRM0335C1H220JA01D</t>
  </si>
  <si>
    <t>22pF</t>
  </si>
  <si>
    <t>C33, C35</t>
  </si>
  <si>
    <t>200V 100nF X7R ±10% 0805 Multilayer Ceramic Capacitors MLCC - SMD/SMT ROHS</t>
  </si>
  <si>
    <t>Cap-0805</t>
  </si>
  <si>
    <t>FM21X104K201ECG</t>
  </si>
  <si>
    <t>100nF</t>
  </si>
  <si>
    <t>Electrolytic Capacitor</t>
  </si>
  <si>
    <t>C34</t>
  </si>
  <si>
    <t>22uF 200V 320mA@100kHz ±20% SMD,D8xL16.5mm Aluminum Electrolytic Capacitors - SMD ROHS</t>
  </si>
  <si>
    <t>VKMD1652D220MV</t>
  </si>
  <si>
    <t>Ymin</t>
  </si>
  <si>
    <t>22uF</t>
  </si>
  <si>
    <t>C36</t>
  </si>
  <si>
    <t>47uF 25V 0.9Ω@100kHz ±10% CASE-D-7343 Tantalum Capacitors ROHS</t>
  </si>
  <si>
    <t>Case-D</t>
  </si>
  <si>
    <t>CA45-D025K476T</t>
  </si>
  <si>
    <t>Hunan Xiangyee in S&amp;T</t>
  </si>
  <si>
    <t>47uF</t>
  </si>
  <si>
    <t>C38</t>
  </si>
  <si>
    <t>50V 50pF C0G ±5% 0402 Multilayer Ceramic Capacitors MLCC - SMD/SMT ROHS</t>
  </si>
  <si>
    <t>Cap-0402</t>
  </si>
  <si>
    <t>0402CG500J500NT</t>
  </si>
  <si>
    <t>FH</t>
  </si>
  <si>
    <t>50pF</t>
  </si>
  <si>
    <t>C39, C44, C45, C50, C51, C52</t>
  </si>
  <si>
    <t>50V 1nF X7R ±10% 0201 Multilayer Ceramic Capacitors MLCC - SMD/SMT ROHS</t>
  </si>
  <si>
    <t>0201B102K500NT</t>
  </si>
  <si>
    <t>1nF</t>
  </si>
  <si>
    <t>Diode</t>
  </si>
  <si>
    <t>D1</t>
  </si>
  <si>
    <t>40V 3A 550mV@3A SMA(DO-214AC) Schottky Barrier Diodes (SBD) ROHS</t>
  </si>
  <si>
    <t>SMA(DO-214AC)</t>
  </si>
  <si>
    <t>B340A</t>
  </si>
  <si>
    <t>FUXINSEMI</t>
  </si>
  <si>
    <t>Schottky Barrier Diodes</t>
  </si>
  <si>
    <t>D2</t>
  </si>
  <si>
    <t>Diode Schottky 150V 500mA 2-Pin SOD-323HE Emboss T/R</t>
  </si>
  <si>
    <t>SOD-323HE</t>
  </si>
  <si>
    <t>RB558VAM150TR</t>
  </si>
  <si>
    <t>Rohm</t>
  </si>
  <si>
    <t>D3</t>
  </si>
  <si>
    <t>100V 400mW Single 1.25V@150mA 8ns 300mA SOD-123 Switching Diode ROHS</t>
  </si>
  <si>
    <t>SOD-123</t>
  </si>
  <si>
    <t>1N4148W</t>
  </si>
  <si>
    <t>JSMSEMI</t>
  </si>
  <si>
    <t>D4</t>
  </si>
  <si>
    <t>±5% Single 3.1V~3.5V 300mW 3.3V SOD-323 Zener Diodes ROHS</t>
  </si>
  <si>
    <t>SOD-323</t>
  </si>
  <si>
    <t>MM3Z3V3</t>
  </si>
  <si>
    <t>D5</t>
  </si>
  <si>
    <t>10.1A 200W 19.9V 13.3V 12V SOD-123F Electrostatic and Surge Protection (TVS/ESD) ROHS</t>
  </si>
  <si>
    <t>SOD-123F</t>
  </si>
  <si>
    <t>SMF12A</t>
  </si>
  <si>
    <t>Shandong Jingdao Microelectronics</t>
  </si>
  <si>
    <t>Fuse</t>
  </si>
  <si>
    <t>F1</t>
  </si>
  <si>
    <t>10V 2A 100A 4A 2018 Resettable Fuses ROHS</t>
  </si>
  <si>
    <t>SMD2018-200</t>
  </si>
  <si>
    <t>Tech Fuse</t>
  </si>
  <si>
    <t>Connector</t>
  </si>
  <si>
    <t>J1</t>
  </si>
  <si>
    <t>Gold 250V 3A Brick nogging Square Pins 2.5mm 2P 260℃ 6mm -40℃~+105℃ 2.54mm 双排 Black Brass 2x1P SMD,P=2.54mm Pin Headers ROHS</t>
  </si>
  <si>
    <t>X6521WVS-2x01H-C60D74</t>
  </si>
  <si>
    <t>XKB Connectivity</t>
  </si>
  <si>
    <t>Do Not Mount</t>
  </si>
  <si>
    <t>SMD Pad</t>
  </si>
  <si>
    <t>J2</t>
  </si>
  <si>
    <t>Ribbon wire Connection Pads</t>
  </si>
  <si>
    <t>20 pin Ribbon Pads.</t>
  </si>
  <si>
    <t>20P SMD PAD</t>
  </si>
  <si>
    <t>-</t>
  </si>
  <si>
    <t>20 pin Ribbon Pads</t>
  </si>
  <si>
    <t>J3</t>
  </si>
  <si>
    <t>1x6P SH 1 1mm 6 SMD,P=1mm Wire To Board / Wire To Wire Connector ROHS</t>
  </si>
  <si>
    <t>Voltlink Target</t>
  </si>
  <si>
    <t>C145963</t>
  </si>
  <si>
    <t>BOOMELE</t>
  </si>
  <si>
    <t>J4, J6</t>
  </si>
  <si>
    <t>Wire Connecting Pad</t>
  </si>
  <si>
    <t>1P SMD PAD</t>
  </si>
  <si>
    <t>Male Header</t>
  </si>
  <si>
    <t>J5</t>
  </si>
  <si>
    <t>CONN HEADER VERT 2POS 2.54MM</t>
  </si>
  <si>
    <t>HDR1X2_</t>
  </si>
  <si>
    <t>TE Connectivity</t>
  </si>
  <si>
    <t>826629-2</t>
  </si>
  <si>
    <t>Inductor</t>
  </si>
  <si>
    <t>L1</t>
  </si>
  <si>
    <t>3A 47uH Molding Choke ±20% 4.5A SMD Power Inductors ROHS</t>
  </si>
  <si>
    <t>SMMS1050-470M</t>
  </si>
  <si>
    <t>SXN</t>
  </si>
  <si>
    <t>47uH</t>
  </si>
  <si>
    <t>L2</t>
  </si>
  <si>
    <t>Ind Power Unshielded Wirewound 100uH 10% 100KHz 25Q-Factor Ferrite 1.9A T/R</t>
  </si>
  <si>
    <t>SDR1307A-101K</t>
  </si>
  <si>
    <t>Bourns</t>
  </si>
  <si>
    <t>100uH</t>
  </si>
  <si>
    <t>L3</t>
  </si>
  <si>
    <t>FIXED IND 1.6NH 1A 50 MOHM SMD</t>
  </si>
  <si>
    <t>IND-0201</t>
  </si>
  <si>
    <t>LQP03HQ1N6B02D</t>
  </si>
  <si>
    <t>1.6nH</t>
  </si>
  <si>
    <t>L4</t>
  </si>
  <si>
    <t>140mA 24nH ±3% 2.3Ω 0201 Inductors (SMD) ROHS</t>
  </si>
  <si>
    <t>LQP03TN24NH02D</t>
  </si>
  <si>
    <t>24nH</t>
  </si>
  <si>
    <t>L5</t>
  </si>
  <si>
    <t>FIXED IND 2NH 600MA 100 MOHM SMD</t>
  </si>
  <si>
    <t>MLG0603P2N0CT000</t>
  </si>
  <si>
    <t>TDK</t>
  </si>
  <si>
    <t>2nH</t>
  </si>
  <si>
    <t>Mosfet</t>
  </si>
  <si>
    <t>Q1</t>
  </si>
  <si>
    <t>200V 5A 78W 580mΩ@10V,2.5A 3V@250uA N Channel TO-252-2(DPAK) MOSFETs ROHS</t>
  </si>
  <si>
    <t>DPAK</t>
  </si>
  <si>
    <t>5N20A-252</t>
  </si>
  <si>
    <t>GOFRD</t>
  </si>
  <si>
    <t>Resistor</t>
  </si>
  <si>
    <t>R2, R4</t>
  </si>
  <si>
    <t>125mW ±100ppm/℃ ±0.5% 1MΩ 0402 Chip Resistor - Surface Mount ROHS</t>
  </si>
  <si>
    <t>Res-0402</t>
  </si>
  <si>
    <t>WF04H1004DTL</t>
  </si>
  <si>
    <t>1M</t>
  </si>
  <si>
    <t>R3</t>
  </si>
  <si>
    <t>SMD Chip Resistor, 287 kOhm, ± 1%, 50 mW, 0201 [0603 Metric], Thick Film, General Purpose</t>
  </si>
  <si>
    <t>Res-0201</t>
  </si>
  <si>
    <t>RC0201FR-07287KL</t>
  </si>
  <si>
    <t>YAGEO</t>
  </si>
  <si>
    <t>287K</t>
  </si>
  <si>
    <t>R5</t>
  </si>
  <si>
    <t>50mW Thick Film Resistors 25V ±1% ±200ppm/℃ 16.2kΩ 0201 Chip Resistor - Surface Mount ROHS</t>
  </si>
  <si>
    <t>RTT011622FTH</t>
  </si>
  <si>
    <t>RALEC</t>
  </si>
  <si>
    <t>16.2K</t>
  </si>
  <si>
    <t>R6</t>
  </si>
  <si>
    <t>Res Thick Film 0201 154K Ohm 1% 1/20W ±200ppm/°C Molded SMD Paper T/R</t>
  </si>
  <si>
    <t>RC0201FR-07154KL</t>
  </si>
  <si>
    <t>154K</t>
  </si>
  <si>
    <t>R7, R15, R16</t>
  </si>
  <si>
    <t>RESISTOR 0402 JUMPER ZERO OHM</t>
  </si>
  <si>
    <t>AC0402FR-070RL</t>
  </si>
  <si>
    <t>0R</t>
  </si>
  <si>
    <t>R8</t>
  </si>
  <si>
    <t>RES 499 OHM 1% 1/20W 0201</t>
  </si>
  <si>
    <t>RC0201FR-07499RL</t>
  </si>
  <si>
    <t>499R</t>
  </si>
  <si>
    <t>R9, R10, R17</t>
  </si>
  <si>
    <t>RES SMD 10K OHM 5% 1/4W 0603</t>
  </si>
  <si>
    <t>Res-0603</t>
  </si>
  <si>
    <t>ESR03EZPJ103</t>
  </si>
  <si>
    <t>ROHM Semicon</t>
  </si>
  <si>
    <t>10K</t>
  </si>
  <si>
    <t>R11</t>
  </si>
  <si>
    <t>RES SMD 10K OHM 1% 1/20W 0201</t>
  </si>
  <si>
    <t>RC0201FR-0710KL</t>
  </si>
  <si>
    <t>Potentiometer</t>
  </si>
  <si>
    <t>R12, R18, R19, R25, R30</t>
  </si>
  <si>
    <t>TRIMMER 10K OHM 0.1W J LEAD TOP</t>
  </si>
  <si>
    <t>TC33X-2-103E_</t>
  </si>
  <si>
    <t>TC33X-2-103E</t>
  </si>
  <si>
    <t>R13</t>
  </si>
  <si>
    <t>RES SMD 3K OHM 1% 1/3W 0603</t>
  </si>
  <si>
    <t>CRCW06033K00FKEAHP</t>
  </si>
  <si>
    <t>Vishay Intertech</t>
  </si>
  <si>
    <t>3K</t>
  </si>
  <si>
    <t>R14</t>
  </si>
  <si>
    <t>1W Thick Film Resistors 200V ±100ppm/℃ ±5% 51Ω 2512 Chip Resistor - Surface Mount ROHS</t>
  </si>
  <si>
    <t>RES-2512</t>
  </si>
  <si>
    <t>RC2512JK-0751RL</t>
  </si>
  <si>
    <t>51R</t>
  </si>
  <si>
    <t>R20</t>
  </si>
  <si>
    <t>50mW Thick Film Resistors ±5% ±200ppm/℃ 68Ω 0201 Chip Resistor - Surface Mount ROHS</t>
  </si>
  <si>
    <t>0201WMJ0680TEE</t>
  </si>
  <si>
    <t>UNI-ROYAL</t>
  </si>
  <si>
    <t>68R</t>
  </si>
  <si>
    <t>R21</t>
  </si>
  <si>
    <t>50mW Thick Film Resistors ±200ppm/℃ ±5% 820Ω 0201 Chip Resistor - Surface Mount ROHS</t>
  </si>
  <si>
    <t>WR02X821JAL</t>
  </si>
  <si>
    <t>Walsin Tech Corp</t>
  </si>
  <si>
    <t>820R</t>
  </si>
  <si>
    <t>R22, R26</t>
  </si>
  <si>
    <t>50mW ±1% ±200ppm/℃ 330Ω 0201 Chip Resistor - Surface Mount ROHS</t>
  </si>
  <si>
    <t>RC-01W3300FT</t>
  </si>
  <si>
    <t>330R</t>
  </si>
  <si>
    <t>R23</t>
  </si>
  <si>
    <t>50mW ±5% ±200ppm/℃ 470Ω 0201 Chip Resistor - Surface Mount ROHS</t>
  </si>
  <si>
    <t>RC-01W471JT</t>
  </si>
  <si>
    <t>470R</t>
  </si>
  <si>
    <t>R24</t>
  </si>
  <si>
    <t>TRIMMER 100K OHM 0.1W J LEAD TOP</t>
  </si>
  <si>
    <t>TC33X-2-104E_</t>
  </si>
  <si>
    <t>TC33X-2-104E</t>
  </si>
  <si>
    <t>100K</t>
  </si>
  <si>
    <t>R27</t>
  </si>
  <si>
    <t>50mW Thick Film Resistors ±5% ±200ppm/℃ 1.5kΩ 0201 Chip Resistor - Surface Mount ROHS</t>
  </si>
  <si>
    <t>RTT01152JTH</t>
  </si>
  <si>
    <t>1.5K</t>
  </si>
  <si>
    <t>R28</t>
  </si>
  <si>
    <t>RES 1K OHM 1% 1/20W 0201</t>
  </si>
  <si>
    <t>RC0201FR-071KL</t>
  </si>
  <si>
    <t>1K</t>
  </si>
  <si>
    <t>R29</t>
  </si>
  <si>
    <t>50mW ±1% 100Ω 0201 Chip Resistor - Surface Mount ROHS</t>
  </si>
  <si>
    <t>CR0201FH1000G</t>
  </si>
  <si>
    <t>LIZ ELEC</t>
  </si>
  <si>
    <t>100R</t>
  </si>
  <si>
    <t>Switch</t>
  </si>
  <si>
    <t>SW1, SW2</t>
  </si>
  <si>
    <t>SWITCH TACTILE SPST-NO 0.05A 12V</t>
  </si>
  <si>
    <t>B3U-1000P</t>
  </si>
  <si>
    <t>Omron</t>
  </si>
  <si>
    <t>IC</t>
  </si>
  <si>
    <t>U1</t>
  </si>
  <si>
    <t>IC REG BUCK 3.3V 2A 8SOIC</t>
  </si>
  <si>
    <t>SOP-8L</t>
  </si>
  <si>
    <t>AP1509-33SG-13</t>
  </si>
  <si>
    <t>Diodes</t>
  </si>
  <si>
    <t>U2</t>
  </si>
  <si>
    <t>Charge Pump INV/STPUP/STPDN -1.5V to -10V 100mA 8-Pin SOIC T/R / IC REG SWITCHD CAP INV 8SOIC</t>
  </si>
  <si>
    <t>SOIC-8(0.154", 3.90mm Width)</t>
  </si>
  <si>
    <t>TL7660CDR</t>
  </si>
  <si>
    <t>Texas Instruments</t>
  </si>
  <si>
    <t>U3</t>
  </si>
  <si>
    <t>IC REG MULTI CONFG ADJ 16MSOP</t>
  </si>
  <si>
    <t>16-MSOP-EP</t>
  </si>
  <si>
    <t>LT8331IMSE#TRPBF</t>
  </si>
  <si>
    <t>Analog Devices</t>
  </si>
  <si>
    <t>U4</t>
  </si>
  <si>
    <t>SOT-223 Linear Voltage Regulators (LDO) ROHS</t>
  </si>
  <si>
    <t>SOT- 223</t>
  </si>
  <si>
    <t>AMS1117-5.0</t>
  </si>
  <si>
    <t>HX(hengjiaxing)</t>
  </si>
  <si>
    <t>U5</t>
  </si>
  <si>
    <t>21dBm ESP32-S3R8 2.4GHz SMD WiFi Modules ROHS</t>
  </si>
  <si>
    <t>QFNWB-56 (7×7)</t>
  </si>
  <si>
    <t>ESP32-S3FH4R2</t>
  </si>
  <si>
    <t>Espressif Systems</t>
  </si>
  <si>
    <t>U6</t>
  </si>
  <si>
    <t>45ns 4.75V~5.25V SOIC-14 Monostable Multivibrators ROHS</t>
  </si>
  <si>
    <t>SOIC-14</t>
  </si>
  <si>
    <t>SN74121D</t>
  </si>
  <si>
    <t>Taxes Instrument</t>
  </si>
  <si>
    <t>U7</t>
  </si>
  <si>
    <t>MOSFET 4.5V~15V SOIC-8 Gate Drive ICs ROHS</t>
  </si>
  <si>
    <t>SOIC-8(0.150", 3.80mm Width)</t>
  </si>
  <si>
    <t>ICL7667CBAZA</t>
  </si>
  <si>
    <t>RENESAS</t>
  </si>
  <si>
    <t>U8, U9, U10</t>
  </si>
  <si>
    <t>Video Amplifier, 1, 140 Mhz, 2500 V/ S, 0 C, 70 C, 100 Ma Rohs Compliant: Yes</t>
  </si>
  <si>
    <t>AD811JRZ</t>
  </si>
  <si>
    <t>U11</t>
  </si>
  <si>
    <t>Very High Speed, High Output Current, Voltage Feedback Amplifier 8-SOIC -40 to 85</t>
  </si>
  <si>
    <t>LM7171AIMX/NOPB</t>
  </si>
  <si>
    <t>TI National Semiconductor</t>
  </si>
  <si>
    <t>Crystal</t>
  </si>
  <si>
    <t>X1</t>
  </si>
  <si>
    <t>40MHz SMD Crystal Resonator 15pF SMD3225-4P Crystals ROHS</t>
  </si>
  <si>
    <t>X322540MPB4SI_</t>
  </si>
  <si>
    <t>X322540MPB4SI</t>
  </si>
  <si>
    <t>Yangxing Tech</t>
  </si>
  <si>
    <t>40MHz</t>
  </si>
  <si>
    <t>Peripheral</t>
  </si>
  <si>
    <t>LCD MOD 320X240 RGB W/ BACKLIT</t>
  </si>
  <si>
    <t xml:space="preserve">EA EDIPTFT32-ATP </t>
  </si>
  <si>
    <t>Display Visions</t>
  </si>
  <si>
    <t>FPC Cable</t>
  </si>
  <si>
    <t>Transducer(TX/RX)socket</t>
  </si>
  <si>
    <t>Battery</t>
  </si>
  <si>
    <t>ultrasound-gel for sonography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</si>
</sst>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8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6" xfId="6" applyFont="1" applyFill="1" applyBorder="1" applyAlignment="1">
      <alignment horizontal="center" vertical="center" wrapText="1"/>
    </xf>
    <xf numFmtId="0" fontId="8" fillId="2" borderId="6" xfId="6" applyFont="1" applyFill="1" applyBorder="1" applyAlignment="1">
      <alignment horizontal="center" vertical="center" wrapText="1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vertical="center"/>
      <protection locked="0"/>
    </xf>
    <xf numFmtId="0" fontId="9" fillId="4" borderId="9" xfId="0" applyFont="1" applyFill="1" applyBorder="1" applyAlignment="1" applyProtection="1">
      <alignment horizontal="left" vertical="center"/>
      <protection locked="0"/>
    </xf>
    <xf numFmtId="0" fontId="0" fillId="4" borderId="9" xfId="0" applyFont="1" applyFill="1" applyBorder="1" applyAlignment="1">
      <alignment vertical="center"/>
    </xf>
    <xf numFmtId="0" fontId="0" fillId="4" borderId="9" xfId="0" applyFont="1" applyFill="1" applyBorder="1" applyAlignment="1"/>
    <xf numFmtId="0" fontId="10" fillId="4" borderId="10" xfId="0" applyFont="1" applyFill="1" applyBorder="1" applyAlignment="1" applyProtection="1">
      <alignment horizontal="center" vertical="top"/>
      <protection locked="0"/>
    </xf>
    <xf numFmtId="0" fontId="10" fillId="4" borderId="11" xfId="0" applyFont="1" applyFill="1" applyBorder="1" applyAlignment="1" applyProtection="1">
      <alignment horizontal="center" vertical="top"/>
      <protection locked="0"/>
    </xf>
    <xf numFmtId="0" fontId="3" fillId="4" borderId="11" xfId="0" applyFont="1" applyFill="1" applyBorder="1" applyAlignment="1" applyProtection="1">
      <alignment horizontal="left" vertical="top"/>
      <protection locked="0"/>
    </xf>
    <xf numFmtId="0" fontId="9" fillId="4" borderId="11" xfId="0" applyFont="1" applyFill="1" applyBorder="1" applyAlignment="1" applyProtection="1">
      <alignment horizontal="left" vertical="top"/>
      <protection locked="0"/>
    </xf>
    <xf numFmtId="0" fontId="0" fillId="4" borderId="12" xfId="0" applyFont="1" applyFill="1" applyBorder="1" applyAlignment="1"/>
    <xf numFmtId="0" fontId="9" fillId="4" borderId="13" xfId="0" applyFont="1" applyFill="1" applyBorder="1" applyAlignment="1" applyProtection="1">
      <alignment horizontal="left" vertical="top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69"/>
  <sheetViews>
    <sheetView tabSelected="1" zoomScale="85" zoomScaleNormal="85" topLeftCell="D57" workbookViewId="0">
      <selection activeCell="I71" sqref="I71"/>
    </sheetView>
  </sheetViews>
  <sheetFormatPr defaultColWidth="9" defaultRowHeight="15"/>
  <cols>
    <col min="2" max="2" width="3.14285714285714" style="2" customWidth="1"/>
    <col min="3" max="3" width="18.7142857142857" style="2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2" width="29.4285714285714" customWidth="1"/>
  </cols>
  <sheetData>
    <row r="1" spans="1:12">
      <c r="A1" s="3"/>
      <c r="B1" s="4"/>
      <c r="C1" s="4"/>
      <c r="D1" s="5"/>
      <c r="E1" s="5"/>
      <c r="F1" s="5"/>
      <c r="G1" s="5"/>
      <c r="H1" s="5"/>
      <c r="I1" s="18"/>
      <c r="J1" s="18"/>
      <c r="K1" s="18"/>
      <c r="L1" s="18"/>
    </row>
    <row r="2" ht="15.75" spans="1:12">
      <c r="A2" s="3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7" t="s">
        <v>5</v>
      </c>
      <c r="H2" s="6" t="s">
        <v>6</v>
      </c>
      <c r="I2" s="7" t="s">
        <v>7</v>
      </c>
      <c r="J2" s="6" t="s">
        <v>8</v>
      </c>
      <c r="K2" s="6" t="s">
        <v>9</v>
      </c>
      <c r="L2" s="6" t="s">
        <v>10</v>
      </c>
    </row>
    <row r="3" spans="1:12">
      <c r="A3" s="3"/>
      <c r="B3" s="8">
        <f>ROW(B3)-ROW($B$2)</f>
        <v>1</v>
      </c>
      <c r="C3" s="9" t="s">
        <v>11</v>
      </c>
      <c r="D3" s="10" t="s">
        <v>12</v>
      </c>
      <c r="E3" s="11" t="s">
        <v>13</v>
      </c>
      <c r="F3" s="10" t="s">
        <v>14</v>
      </c>
      <c r="G3" s="11" t="s">
        <v>15</v>
      </c>
      <c r="H3" s="10" t="s">
        <v>16</v>
      </c>
      <c r="I3" s="11" t="s">
        <v>17</v>
      </c>
      <c r="J3" s="10">
        <v>6</v>
      </c>
      <c r="K3" s="10"/>
      <c r="L3" s="10"/>
    </row>
    <row r="4" ht="24.75" spans="1:12">
      <c r="A4" s="3"/>
      <c r="B4" s="8">
        <f>ROW(B4)-ROW($B$2)</f>
        <v>2</v>
      </c>
      <c r="C4" s="12" t="s">
        <v>11</v>
      </c>
      <c r="D4" s="13" t="s">
        <v>18</v>
      </c>
      <c r="E4" s="14" t="s">
        <v>19</v>
      </c>
      <c r="F4" s="13" t="s">
        <v>14</v>
      </c>
      <c r="G4" s="14" t="s">
        <v>20</v>
      </c>
      <c r="H4" s="13" t="s">
        <v>16</v>
      </c>
      <c r="I4" s="14" t="s">
        <v>21</v>
      </c>
      <c r="J4" s="13">
        <v>20</v>
      </c>
      <c r="K4" s="13"/>
      <c r="L4" s="13"/>
    </row>
    <row r="5" spans="1:12">
      <c r="A5" s="3"/>
      <c r="B5" s="8">
        <f>ROW(B5)-ROW($B$2)</f>
        <v>3</v>
      </c>
      <c r="C5" s="9" t="s">
        <v>11</v>
      </c>
      <c r="D5" s="10" t="s">
        <v>22</v>
      </c>
      <c r="E5" s="11" t="s">
        <v>23</v>
      </c>
      <c r="F5" s="10" t="s">
        <v>24</v>
      </c>
      <c r="G5" s="11" t="s">
        <v>25</v>
      </c>
      <c r="H5" s="10" t="s">
        <v>16</v>
      </c>
      <c r="I5" s="11" t="s">
        <v>26</v>
      </c>
      <c r="J5" s="10">
        <v>7</v>
      </c>
      <c r="K5" s="10"/>
      <c r="L5" s="10"/>
    </row>
    <row r="6" ht="24.75" spans="1:12">
      <c r="A6" s="3"/>
      <c r="B6" s="8">
        <f>ROW(B6)-ROW($B$2)</f>
        <v>4</v>
      </c>
      <c r="C6" s="12" t="s">
        <v>11</v>
      </c>
      <c r="D6" s="13" t="s">
        <v>27</v>
      </c>
      <c r="E6" s="14" t="s">
        <v>28</v>
      </c>
      <c r="F6" s="13" t="s">
        <v>29</v>
      </c>
      <c r="G6" s="14" t="s">
        <v>30</v>
      </c>
      <c r="H6" s="13" t="s">
        <v>31</v>
      </c>
      <c r="I6" s="14" t="s">
        <v>26</v>
      </c>
      <c r="J6" s="13">
        <v>3</v>
      </c>
      <c r="K6" s="13"/>
      <c r="L6" s="13"/>
    </row>
    <row r="7" ht="36.75" spans="1:12">
      <c r="A7" s="3"/>
      <c r="B7" s="8">
        <f>ROW(B7)-ROW($B$2)</f>
        <v>5</v>
      </c>
      <c r="C7" s="9" t="s">
        <v>11</v>
      </c>
      <c r="D7" s="10" t="s">
        <v>32</v>
      </c>
      <c r="E7" s="11" t="s">
        <v>33</v>
      </c>
      <c r="F7" s="10" t="s">
        <v>34</v>
      </c>
      <c r="G7" s="11" t="s">
        <v>35</v>
      </c>
      <c r="H7" s="10" t="s">
        <v>36</v>
      </c>
      <c r="I7" s="11" t="s">
        <v>17</v>
      </c>
      <c r="J7" s="10">
        <v>1</v>
      </c>
      <c r="K7" s="10"/>
      <c r="L7" s="10"/>
    </row>
    <row r="8" spans="1:12">
      <c r="A8" s="3"/>
      <c r="B8" s="8">
        <f>ROW(B8)-ROW($B$2)</f>
        <v>6</v>
      </c>
      <c r="C8" s="12" t="s">
        <v>11</v>
      </c>
      <c r="D8" s="13" t="s">
        <v>37</v>
      </c>
      <c r="E8" s="14" t="s">
        <v>38</v>
      </c>
      <c r="F8" s="13" t="s">
        <v>14</v>
      </c>
      <c r="G8" s="14" t="s">
        <v>39</v>
      </c>
      <c r="H8" s="13" t="s">
        <v>40</v>
      </c>
      <c r="I8" s="14" t="s">
        <v>41</v>
      </c>
      <c r="J8" s="13">
        <v>1</v>
      </c>
      <c r="K8" s="13"/>
      <c r="L8" s="13"/>
    </row>
    <row r="9" spans="1:12">
      <c r="A9" s="3"/>
      <c r="B9" s="8">
        <f>ROW(B9)-ROW($B$2)</f>
        <v>7</v>
      </c>
      <c r="C9" s="9" t="s">
        <v>11</v>
      </c>
      <c r="D9" s="10" t="s">
        <v>42</v>
      </c>
      <c r="E9" s="11" t="s">
        <v>43</v>
      </c>
      <c r="F9" s="10" t="s">
        <v>14</v>
      </c>
      <c r="G9" s="11" t="s">
        <v>44</v>
      </c>
      <c r="H9" s="10" t="s">
        <v>40</v>
      </c>
      <c r="I9" s="11" t="s">
        <v>45</v>
      </c>
      <c r="J9" s="10">
        <v>1</v>
      </c>
      <c r="K9" s="10"/>
      <c r="L9" s="10"/>
    </row>
    <row r="10" spans="1:12">
      <c r="A10" s="3"/>
      <c r="B10" s="8">
        <f>ROW(B10)-ROW($B$2)</f>
        <v>8</v>
      </c>
      <c r="C10" s="12" t="s">
        <v>11</v>
      </c>
      <c r="D10" s="13" t="s">
        <v>46</v>
      </c>
      <c r="E10" s="14" t="s">
        <v>47</v>
      </c>
      <c r="F10" s="13" t="s">
        <v>14</v>
      </c>
      <c r="G10" s="14" t="s">
        <v>48</v>
      </c>
      <c r="H10" s="13" t="s">
        <v>16</v>
      </c>
      <c r="I10" s="14" t="s">
        <v>49</v>
      </c>
      <c r="J10" s="13">
        <v>2</v>
      </c>
      <c r="K10" s="13"/>
      <c r="L10" s="13"/>
    </row>
    <row r="11" ht="36.75" spans="1:12">
      <c r="A11" s="3"/>
      <c r="B11" s="8">
        <f>ROW(B11)-ROW($B$2)</f>
        <v>9</v>
      </c>
      <c r="C11" s="9" t="s">
        <v>11</v>
      </c>
      <c r="D11" s="10" t="s">
        <v>50</v>
      </c>
      <c r="E11" s="11" t="s">
        <v>51</v>
      </c>
      <c r="F11" s="10" t="s">
        <v>52</v>
      </c>
      <c r="G11" s="11" t="s">
        <v>53</v>
      </c>
      <c r="H11" s="10" t="s">
        <v>36</v>
      </c>
      <c r="I11" s="11" t="s">
        <v>54</v>
      </c>
      <c r="J11" s="10">
        <v>2</v>
      </c>
      <c r="K11" s="10"/>
      <c r="L11" s="10"/>
    </row>
    <row r="12" ht="36.75" spans="1:12">
      <c r="A12" s="3"/>
      <c r="B12" s="8">
        <f>ROW(B12)-ROW($B$2)</f>
        <v>10</v>
      </c>
      <c r="C12" s="12" t="s">
        <v>55</v>
      </c>
      <c r="D12" s="13" t="s">
        <v>56</v>
      </c>
      <c r="E12" s="14" t="s">
        <v>57</v>
      </c>
      <c r="F12" s="13" t="s">
        <v>58</v>
      </c>
      <c r="G12" s="14" t="s">
        <v>58</v>
      </c>
      <c r="H12" s="13" t="s">
        <v>59</v>
      </c>
      <c r="I12" s="14" t="s">
        <v>60</v>
      </c>
      <c r="J12" s="13">
        <v>1</v>
      </c>
      <c r="K12" s="13"/>
      <c r="L12" s="13"/>
    </row>
    <row r="13" ht="24.75" spans="1:12">
      <c r="A13" s="3"/>
      <c r="B13" s="8">
        <f>ROW(B13)-ROW($B$2)</f>
        <v>11</v>
      </c>
      <c r="C13" s="9" t="s">
        <v>11</v>
      </c>
      <c r="D13" s="10" t="s">
        <v>61</v>
      </c>
      <c r="E13" s="11" t="s">
        <v>62</v>
      </c>
      <c r="F13" s="10" t="s">
        <v>63</v>
      </c>
      <c r="G13" s="11" t="s">
        <v>64</v>
      </c>
      <c r="H13" s="10" t="s">
        <v>65</v>
      </c>
      <c r="I13" s="11" t="s">
        <v>66</v>
      </c>
      <c r="J13" s="10">
        <v>1</v>
      </c>
      <c r="K13" s="10"/>
      <c r="L13" s="10"/>
    </row>
    <row r="14" ht="36.75" spans="1:12">
      <c r="A14" s="3"/>
      <c r="B14" s="8">
        <f>ROW(B14)-ROW($B$2)</f>
        <v>12</v>
      </c>
      <c r="C14" s="12" t="s">
        <v>11</v>
      </c>
      <c r="D14" s="13" t="s">
        <v>67</v>
      </c>
      <c r="E14" s="14" t="s">
        <v>68</v>
      </c>
      <c r="F14" s="13" t="s">
        <v>69</v>
      </c>
      <c r="G14" s="14" t="s">
        <v>70</v>
      </c>
      <c r="H14" s="13" t="s">
        <v>71</v>
      </c>
      <c r="I14" s="14" t="s">
        <v>72</v>
      </c>
      <c r="J14" s="13">
        <v>1</v>
      </c>
      <c r="K14" s="13"/>
      <c r="L14" s="13"/>
    </row>
    <row r="15" ht="36.75" spans="1:12">
      <c r="A15" s="3"/>
      <c r="B15" s="8">
        <f>ROW(B15)-ROW($B$2)</f>
        <v>13</v>
      </c>
      <c r="C15" s="9" t="s">
        <v>11</v>
      </c>
      <c r="D15" s="10" t="s">
        <v>73</v>
      </c>
      <c r="E15" s="11" t="s">
        <v>74</v>
      </c>
      <c r="F15" s="10" t="s">
        <v>14</v>
      </c>
      <c r="G15" s="11" t="s">
        <v>75</v>
      </c>
      <c r="H15" s="10" t="s">
        <v>71</v>
      </c>
      <c r="I15" s="11" t="s">
        <v>76</v>
      </c>
      <c r="J15" s="10">
        <v>6</v>
      </c>
      <c r="K15" s="10"/>
      <c r="L15" s="10"/>
    </row>
    <row r="16" ht="24.75" spans="1:12">
      <c r="A16" s="3"/>
      <c r="B16" s="8">
        <f>ROW(B16)-ROW($B$2)</f>
        <v>14</v>
      </c>
      <c r="C16" s="12" t="s">
        <v>77</v>
      </c>
      <c r="D16" s="13" t="s">
        <v>78</v>
      </c>
      <c r="E16" s="14" t="s">
        <v>79</v>
      </c>
      <c r="F16" s="13" t="s">
        <v>80</v>
      </c>
      <c r="G16" s="14" t="s">
        <v>81</v>
      </c>
      <c r="H16" s="13" t="s">
        <v>82</v>
      </c>
      <c r="I16" s="14" t="s">
        <v>81</v>
      </c>
      <c r="J16" s="13">
        <v>1</v>
      </c>
      <c r="K16" s="13"/>
      <c r="L16" s="13"/>
    </row>
    <row r="17" ht="26.25" spans="1:12">
      <c r="A17" s="3"/>
      <c r="B17" s="8">
        <f>ROW(B17)-ROW($B$2)</f>
        <v>15</v>
      </c>
      <c r="C17" s="9" t="s">
        <v>83</v>
      </c>
      <c r="D17" s="10" t="s">
        <v>84</v>
      </c>
      <c r="E17" s="11" t="s">
        <v>85</v>
      </c>
      <c r="F17" s="10" t="s">
        <v>86</v>
      </c>
      <c r="G17" s="11" t="s">
        <v>87</v>
      </c>
      <c r="H17" s="10" t="s">
        <v>88</v>
      </c>
      <c r="I17" s="11" t="s">
        <v>87</v>
      </c>
      <c r="J17" s="10">
        <v>1</v>
      </c>
      <c r="K17" s="10"/>
      <c r="L17" s="10"/>
    </row>
    <row r="18" ht="24.75" spans="1:12">
      <c r="A18" s="3"/>
      <c r="B18" s="8">
        <f>ROW(B18)-ROW($B$2)</f>
        <v>16</v>
      </c>
      <c r="C18" s="12" t="s">
        <v>77</v>
      </c>
      <c r="D18" s="13" t="s">
        <v>89</v>
      </c>
      <c r="E18" s="14" t="s">
        <v>90</v>
      </c>
      <c r="F18" s="13" t="s">
        <v>91</v>
      </c>
      <c r="G18" s="14" t="s">
        <v>92</v>
      </c>
      <c r="H18" s="13" t="s">
        <v>93</v>
      </c>
      <c r="I18" s="14" t="s">
        <v>92</v>
      </c>
      <c r="J18" s="13">
        <v>1</v>
      </c>
      <c r="K18" s="13"/>
      <c r="L18" s="13"/>
    </row>
    <row r="19" ht="24.75" spans="1:12">
      <c r="A19" s="3"/>
      <c r="B19" s="8">
        <f>ROW(B19)-ROW($B$2)</f>
        <v>17</v>
      </c>
      <c r="C19" s="9" t="s">
        <v>77</v>
      </c>
      <c r="D19" s="10" t="s">
        <v>94</v>
      </c>
      <c r="E19" s="11" t="s">
        <v>95</v>
      </c>
      <c r="F19" s="10" t="s">
        <v>96</v>
      </c>
      <c r="G19" s="11" t="s">
        <v>97</v>
      </c>
      <c r="H19" s="10" t="s">
        <v>93</v>
      </c>
      <c r="I19" s="11" t="s">
        <v>97</v>
      </c>
      <c r="J19" s="10">
        <v>1</v>
      </c>
      <c r="K19" s="10"/>
      <c r="L19" s="10"/>
    </row>
    <row r="20" ht="36.75" spans="1:12">
      <c r="A20" s="3"/>
      <c r="B20" s="8">
        <f>ROW(B20)-ROW($B$2)</f>
        <v>18</v>
      </c>
      <c r="C20" s="12" t="s">
        <v>77</v>
      </c>
      <c r="D20" s="13" t="s">
        <v>98</v>
      </c>
      <c r="E20" s="14" t="s">
        <v>99</v>
      </c>
      <c r="F20" s="13" t="s">
        <v>100</v>
      </c>
      <c r="G20" s="14" t="s">
        <v>101</v>
      </c>
      <c r="H20" s="13" t="s">
        <v>102</v>
      </c>
      <c r="I20" s="14" t="s">
        <v>101</v>
      </c>
      <c r="J20" s="13">
        <v>1</v>
      </c>
      <c r="K20" s="13"/>
      <c r="L20" s="13"/>
    </row>
    <row r="21" ht="24.75" spans="1:12">
      <c r="A21" s="3"/>
      <c r="B21" s="8">
        <f>ROW(B21)-ROW($B$2)</f>
        <v>19</v>
      </c>
      <c r="C21" s="9" t="s">
        <v>103</v>
      </c>
      <c r="D21" s="10" t="s">
        <v>104</v>
      </c>
      <c r="E21" s="11" t="s">
        <v>105</v>
      </c>
      <c r="F21" s="10" t="s">
        <v>106</v>
      </c>
      <c r="G21" s="11" t="s">
        <v>106</v>
      </c>
      <c r="H21" s="10" t="s">
        <v>107</v>
      </c>
      <c r="I21" s="11" t="s">
        <v>106</v>
      </c>
      <c r="J21" s="10">
        <v>1</v>
      </c>
      <c r="K21" s="10"/>
      <c r="L21" s="10"/>
    </row>
    <row r="22" ht="48.75" spans="1:12">
      <c r="A22" s="3"/>
      <c r="B22" s="8">
        <f>ROW(B22)-ROW($B$2)</f>
        <v>20</v>
      </c>
      <c r="C22" s="12" t="s">
        <v>108</v>
      </c>
      <c r="D22" s="15" t="s">
        <v>109</v>
      </c>
      <c r="E22" s="16" t="s">
        <v>110</v>
      </c>
      <c r="F22" s="15" t="s">
        <v>111</v>
      </c>
      <c r="G22" s="16" t="s">
        <v>111</v>
      </c>
      <c r="H22" s="15" t="s">
        <v>112</v>
      </c>
      <c r="I22" s="16" t="s">
        <v>111</v>
      </c>
      <c r="J22" s="15">
        <v>1</v>
      </c>
      <c r="K22" s="19"/>
      <c r="L22" s="20" t="s">
        <v>113</v>
      </c>
    </row>
    <row r="23" ht="15.75" spans="1:12">
      <c r="A23" s="3"/>
      <c r="B23" s="8">
        <f>ROW(B23)-ROW($B$2)</f>
        <v>21</v>
      </c>
      <c r="C23" s="9" t="s">
        <v>114</v>
      </c>
      <c r="D23" s="10" t="s">
        <v>115</v>
      </c>
      <c r="E23" s="11" t="s">
        <v>116</v>
      </c>
      <c r="F23" s="10" t="s">
        <v>117</v>
      </c>
      <c r="G23" s="11" t="s">
        <v>118</v>
      </c>
      <c r="H23" s="10" t="s">
        <v>119</v>
      </c>
      <c r="I23" s="11" t="s">
        <v>120</v>
      </c>
      <c r="J23" s="10">
        <v>1</v>
      </c>
      <c r="K23" s="10"/>
      <c r="L23" s="10"/>
    </row>
    <row r="24" ht="24.75" spans="1:12">
      <c r="A24" s="3"/>
      <c r="B24" s="8">
        <f>ROW(B24)-ROW($B$2)</f>
        <v>22</v>
      </c>
      <c r="C24" s="12" t="s">
        <v>108</v>
      </c>
      <c r="D24" s="13" t="s">
        <v>121</v>
      </c>
      <c r="E24" s="14" t="s">
        <v>122</v>
      </c>
      <c r="F24" s="13" t="s">
        <v>123</v>
      </c>
      <c r="G24" s="14" t="s">
        <v>124</v>
      </c>
      <c r="H24" s="13" t="s">
        <v>125</v>
      </c>
      <c r="I24" s="14" t="s">
        <v>123</v>
      </c>
      <c r="J24" s="13">
        <v>1</v>
      </c>
      <c r="K24" s="13"/>
      <c r="L24" s="13"/>
    </row>
    <row r="25" spans="1:12">
      <c r="A25" s="3"/>
      <c r="B25" s="8">
        <f>ROW(B25)-ROW($B$2)</f>
        <v>23</v>
      </c>
      <c r="C25" s="9" t="s">
        <v>114</v>
      </c>
      <c r="D25" s="10" t="s">
        <v>126</v>
      </c>
      <c r="E25" s="11" t="s">
        <v>127</v>
      </c>
      <c r="F25" s="10" t="s">
        <v>128</v>
      </c>
      <c r="G25" s="11" t="s">
        <v>128</v>
      </c>
      <c r="H25" s="10" t="s">
        <v>119</v>
      </c>
      <c r="I25" s="11" t="s">
        <v>128</v>
      </c>
      <c r="J25" s="10">
        <v>2</v>
      </c>
      <c r="K25" s="10"/>
      <c r="L25" s="10"/>
    </row>
    <row r="26" ht="15.75" spans="1:12">
      <c r="A26" s="3"/>
      <c r="B26" s="8">
        <f>ROW(B26)-ROW($B$2)</f>
        <v>24</v>
      </c>
      <c r="C26" s="12" t="s">
        <v>129</v>
      </c>
      <c r="D26" s="13" t="s">
        <v>130</v>
      </c>
      <c r="E26" s="14" t="s">
        <v>131</v>
      </c>
      <c r="F26" s="13" t="s">
        <v>132</v>
      </c>
      <c r="G26" s="14">
        <v>8266292</v>
      </c>
      <c r="H26" s="13" t="s">
        <v>133</v>
      </c>
      <c r="I26" s="14" t="s">
        <v>134</v>
      </c>
      <c r="J26" s="13">
        <v>1</v>
      </c>
      <c r="K26" s="13"/>
      <c r="L26" s="13"/>
    </row>
    <row r="27" ht="24.75" spans="1:12">
      <c r="A27" s="3"/>
      <c r="B27" s="8">
        <f>ROW(B27)-ROW($B$2)</f>
        <v>25</v>
      </c>
      <c r="C27" s="12" t="s">
        <v>135</v>
      </c>
      <c r="D27" s="10" t="s">
        <v>136</v>
      </c>
      <c r="E27" s="11" t="s">
        <v>137</v>
      </c>
      <c r="F27" s="10" t="s">
        <v>138</v>
      </c>
      <c r="G27" s="11" t="s">
        <v>138</v>
      </c>
      <c r="H27" s="10" t="s">
        <v>139</v>
      </c>
      <c r="I27" s="11" t="s">
        <v>140</v>
      </c>
      <c r="J27" s="10">
        <v>1</v>
      </c>
      <c r="K27" s="10"/>
      <c r="L27" s="10"/>
    </row>
    <row r="28" ht="36.75" spans="1:12">
      <c r="A28" s="3"/>
      <c r="B28" s="8">
        <f>ROW(B28)-ROW($B$2)</f>
        <v>26</v>
      </c>
      <c r="C28" s="12" t="s">
        <v>135</v>
      </c>
      <c r="D28" s="13" t="s">
        <v>141</v>
      </c>
      <c r="E28" s="14" t="s">
        <v>142</v>
      </c>
      <c r="F28" s="13" t="s">
        <v>143</v>
      </c>
      <c r="G28" s="14" t="s">
        <v>143</v>
      </c>
      <c r="H28" s="13" t="s">
        <v>144</v>
      </c>
      <c r="I28" s="14" t="s">
        <v>145</v>
      </c>
      <c r="J28" s="13">
        <v>1</v>
      </c>
      <c r="K28" s="13"/>
      <c r="L28" s="13"/>
    </row>
    <row r="29" spans="1:12">
      <c r="A29" s="3"/>
      <c r="B29" s="8">
        <f>ROW(B29)-ROW($B$2)</f>
        <v>27</v>
      </c>
      <c r="C29" s="9" t="s">
        <v>135</v>
      </c>
      <c r="D29" s="10" t="s">
        <v>146</v>
      </c>
      <c r="E29" s="11" t="s">
        <v>147</v>
      </c>
      <c r="F29" s="10" t="s">
        <v>148</v>
      </c>
      <c r="G29" s="11" t="s">
        <v>149</v>
      </c>
      <c r="H29" s="10" t="s">
        <v>16</v>
      </c>
      <c r="I29" s="11" t="s">
        <v>150</v>
      </c>
      <c r="J29" s="10">
        <v>1</v>
      </c>
      <c r="K29" s="10"/>
      <c r="L29" s="10"/>
    </row>
    <row r="30" ht="24.75" spans="1:12">
      <c r="A30" s="3"/>
      <c r="B30" s="8">
        <f>ROW(B30)-ROW($B$2)</f>
        <v>28</v>
      </c>
      <c r="C30" s="12" t="s">
        <v>135</v>
      </c>
      <c r="D30" s="13" t="s">
        <v>151</v>
      </c>
      <c r="E30" s="14" t="s">
        <v>152</v>
      </c>
      <c r="F30" s="13" t="s">
        <v>148</v>
      </c>
      <c r="G30" s="14" t="s">
        <v>153</v>
      </c>
      <c r="H30" s="13" t="s">
        <v>16</v>
      </c>
      <c r="I30" s="14" t="s">
        <v>154</v>
      </c>
      <c r="J30" s="13">
        <v>1</v>
      </c>
      <c r="K30" s="13"/>
      <c r="L30" s="13"/>
    </row>
    <row r="31" spans="1:12">
      <c r="A31" s="3"/>
      <c r="B31" s="8">
        <f>ROW(B31)-ROW($B$2)</f>
        <v>29</v>
      </c>
      <c r="C31" s="9" t="s">
        <v>135</v>
      </c>
      <c r="D31" s="10" t="s">
        <v>155</v>
      </c>
      <c r="E31" s="11" t="s">
        <v>156</v>
      </c>
      <c r="F31" s="10" t="s">
        <v>148</v>
      </c>
      <c r="G31" s="11" t="s">
        <v>157</v>
      </c>
      <c r="H31" s="10" t="s">
        <v>158</v>
      </c>
      <c r="I31" s="11" t="s">
        <v>159</v>
      </c>
      <c r="J31" s="10">
        <v>1</v>
      </c>
      <c r="K31" s="10"/>
      <c r="L31" s="10"/>
    </row>
    <row r="32" ht="36.75" spans="1:12">
      <c r="A32" s="3"/>
      <c r="B32" s="8">
        <f>ROW(B32)-ROW($B$2)</f>
        <v>30</v>
      </c>
      <c r="C32" s="12" t="s">
        <v>160</v>
      </c>
      <c r="D32" s="13" t="s">
        <v>161</v>
      </c>
      <c r="E32" s="14" t="s">
        <v>162</v>
      </c>
      <c r="F32" s="13" t="s">
        <v>163</v>
      </c>
      <c r="G32" s="14" t="s">
        <v>164</v>
      </c>
      <c r="H32" s="13" t="s">
        <v>165</v>
      </c>
      <c r="I32" s="14" t="s">
        <v>164</v>
      </c>
      <c r="J32" s="13">
        <v>1</v>
      </c>
      <c r="K32" s="13"/>
      <c r="L32" s="13"/>
    </row>
    <row r="33" ht="24.75" spans="1:12">
      <c r="A33" s="3"/>
      <c r="B33" s="8">
        <f>ROW(B33)-ROW($B$2)</f>
        <v>31</v>
      </c>
      <c r="C33" s="12" t="s">
        <v>166</v>
      </c>
      <c r="D33" s="10" t="s">
        <v>167</v>
      </c>
      <c r="E33" s="11" t="s">
        <v>168</v>
      </c>
      <c r="F33" s="10" t="s">
        <v>169</v>
      </c>
      <c r="G33" s="11" t="s">
        <v>170</v>
      </c>
      <c r="H33" s="10"/>
      <c r="I33" s="11" t="s">
        <v>171</v>
      </c>
      <c r="J33" s="10">
        <v>2</v>
      </c>
      <c r="K33" s="10"/>
      <c r="L33" s="10"/>
    </row>
    <row r="34" ht="36.75" spans="1:12">
      <c r="A34" s="3"/>
      <c r="B34" s="8">
        <f>ROW(B34)-ROW($B$2)</f>
        <v>32</v>
      </c>
      <c r="C34" s="12" t="s">
        <v>166</v>
      </c>
      <c r="D34" s="13" t="s">
        <v>172</v>
      </c>
      <c r="E34" s="14" t="s">
        <v>173</v>
      </c>
      <c r="F34" s="13" t="s">
        <v>174</v>
      </c>
      <c r="G34" s="14" t="s">
        <v>175</v>
      </c>
      <c r="H34" s="13" t="s">
        <v>176</v>
      </c>
      <c r="I34" s="14" t="s">
        <v>177</v>
      </c>
      <c r="J34" s="13">
        <v>1</v>
      </c>
      <c r="K34" s="13"/>
      <c r="L34" s="13"/>
    </row>
    <row r="35" ht="36.75" spans="1:12">
      <c r="A35" s="3"/>
      <c r="B35" s="8">
        <f>ROW(B35)-ROW($B$2)</f>
        <v>33</v>
      </c>
      <c r="C35" s="9" t="s">
        <v>166</v>
      </c>
      <c r="D35" s="10" t="s">
        <v>178</v>
      </c>
      <c r="E35" s="11" t="s">
        <v>179</v>
      </c>
      <c r="F35" s="10" t="s">
        <v>174</v>
      </c>
      <c r="G35" s="11" t="s">
        <v>180</v>
      </c>
      <c r="H35" s="10" t="s">
        <v>181</v>
      </c>
      <c r="I35" s="11" t="s">
        <v>182</v>
      </c>
      <c r="J35" s="10">
        <v>1</v>
      </c>
      <c r="K35" s="10"/>
      <c r="L35" s="10"/>
    </row>
    <row r="36" ht="36.75" spans="1:12">
      <c r="A36" s="3"/>
      <c r="B36" s="8">
        <f>ROW(B36)-ROW($B$2)</f>
        <v>34</v>
      </c>
      <c r="C36" s="12" t="s">
        <v>166</v>
      </c>
      <c r="D36" s="13" t="s">
        <v>183</v>
      </c>
      <c r="E36" s="14" t="s">
        <v>184</v>
      </c>
      <c r="F36" s="13" t="s">
        <v>174</v>
      </c>
      <c r="G36" s="14" t="s">
        <v>185</v>
      </c>
      <c r="H36" s="13" t="s">
        <v>176</v>
      </c>
      <c r="I36" s="14" t="s">
        <v>186</v>
      </c>
      <c r="J36" s="13">
        <v>1</v>
      </c>
      <c r="K36" s="13"/>
      <c r="L36" s="13"/>
    </row>
    <row r="37" spans="1:12">
      <c r="A37" s="3"/>
      <c r="B37" s="8">
        <f>ROW(B37)-ROW($B$2)</f>
        <v>35</v>
      </c>
      <c r="C37" s="9" t="s">
        <v>166</v>
      </c>
      <c r="D37" s="10" t="s">
        <v>187</v>
      </c>
      <c r="E37" s="11" t="s">
        <v>188</v>
      </c>
      <c r="F37" s="10" t="s">
        <v>169</v>
      </c>
      <c r="G37" s="11" t="s">
        <v>189</v>
      </c>
      <c r="H37" s="10" t="s">
        <v>40</v>
      </c>
      <c r="I37" s="11" t="s">
        <v>190</v>
      </c>
      <c r="J37" s="10">
        <v>3</v>
      </c>
      <c r="K37" s="10"/>
      <c r="L37" s="10"/>
    </row>
    <row r="38" spans="1:12">
      <c r="A38" s="3"/>
      <c r="B38" s="8">
        <f>ROW(B38)-ROW($B$2)</f>
        <v>36</v>
      </c>
      <c r="C38" s="12" t="s">
        <v>166</v>
      </c>
      <c r="D38" s="13" t="s">
        <v>191</v>
      </c>
      <c r="E38" s="14" t="s">
        <v>192</v>
      </c>
      <c r="F38" s="13" t="s">
        <v>174</v>
      </c>
      <c r="G38" s="14" t="s">
        <v>193</v>
      </c>
      <c r="H38" s="13" t="s">
        <v>40</v>
      </c>
      <c r="I38" s="14" t="s">
        <v>194</v>
      </c>
      <c r="J38" s="13">
        <v>1</v>
      </c>
      <c r="K38" s="13"/>
      <c r="L38" s="13"/>
    </row>
    <row r="39" spans="1:12">
      <c r="A39" s="3"/>
      <c r="B39" s="8">
        <f>ROW(B39)-ROW($B$2)</f>
        <v>37</v>
      </c>
      <c r="C39" s="9" t="s">
        <v>166</v>
      </c>
      <c r="D39" s="10" t="s">
        <v>195</v>
      </c>
      <c r="E39" s="11" t="s">
        <v>196</v>
      </c>
      <c r="F39" s="10" t="s">
        <v>197</v>
      </c>
      <c r="G39" s="11" t="s">
        <v>198</v>
      </c>
      <c r="H39" s="10" t="s">
        <v>199</v>
      </c>
      <c r="I39" s="11" t="s">
        <v>200</v>
      </c>
      <c r="J39" s="10">
        <v>3</v>
      </c>
      <c r="K39" s="10"/>
      <c r="L39" s="10"/>
    </row>
    <row r="40" spans="1:12">
      <c r="A40" s="3"/>
      <c r="B40" s="8">
        <f>ROW(B40)-ROW($B$2)</f>
        <v>38</v>
      </c>
      <c r="C40" s="12" t="s">
        <v>166</v>
      </c>
      <c r="D40" s="13" t="s">
        <v>201</v>
      </c>
      <c r="E40" s="14" t="s">
        <v>202</v>
      </c>
      <c r="F40" s="13" t="s">
        <v>174</v>
      </c>
      <c r="G40" s="14" t="s">
        <v>203</v>
      </c>
      <c r="H40" s="13" t="s">
        <v>40</v>
      </c>
      <c r="I40" s="14" t="s">
        <v>200</v>
      </c>
      <c r="J40" s="13">
        <v>1</v>
      </c>
      <c r="K40" s="13"/>
      <c r="L40" s="13"/>
    </row>
    <row r="41" ht="15.75" spans="1:12">
      <c r="A41" s="3"/>
      <c r="B41" s="8">
        <f>ROW(B41)-ROW($B$2)</f>
        <v>39</v>
      </c>
      <c r="C41" s="9" t="s">
        <v>204</v>
      </c>
      <c r="D41" s="10" t="s">
        <v>205</v>
      </c>
      <c r="E41" s="11" t="s">
        <v>206</v>
      </c>
      <c r="F41" s="10" t="s">
        <v>207</v>
      </c>
      <c r="G41" s="11" t="s">
        <v>208</v>
      </c>
      <c r="H41" s="10" t="s">
        <v>144</v>
      </c>
      <c r="I41" s="11" t="s">
        <v>200</v>
      </c>
      <c r="J41" s="10">
        <v>5</v>
      </c>
      <c r="K41" s="10"/>
      <c r="L41" s="10"/>
    </row>
    <row r="42" ht="15.75" spans="1:12">
      <c r="A42" s="3"/>
      <c r="B42" s="8">
        <f>ROW(B42)-ROW($B$2)</f>
        <v>40</v>
      </c>
      <c r="C42" s="12" t="s">
        <v>166</v>
      </c>
      <c r="D42" s="13" t="s">
        <v>209</v>
      </c>
      <c r="E42" s="14" t="s">
        <v>210</v>
      </c>
      <c r="F42" s="13" t="s">
        <v>197</v>
      </c>
      <c r="G42" s="14" t="s">
        <v>211</v>
      </c>
      <c r="H42" s="13" t="s">
        <v>212</v>
      </c>
      <c r="I42" s="14" t="s">
        <v>213</v>
      </c>
      <c r="J42" s="13">
        <v>1</v>
      </c>
      <c r="K42" s="13"/>
      <c r="L42" s="13"/>
    </row>
    <row r="43" ht="36.75" spans="1:12">
      <c r="A43" s="3"/>
      <c r="B43" s="8">
        <f>ROW(B43)-ROW($B$2)</f>
        <v>41</v>
      </c>
      <c r="C43" s="9" t="s">
        <v>166</v>
      </c>
      <c r="D43" s="10" t="s">
        <v>214</v>
      </c>
      <c r="E43" s="11" t="s">
        <v>215</v>
      </c>
      <c r="F43" s="10" t="s">
        <v>216</v>
      </c>
      <c r="G43" s="11" t="s">
        <v>217</v>
      </c>
      <c r="H43" s="10" t="s">
        <v>176</v>
      </c>
      <c r="I43" s="11" t="s">
        <v>218</v>
      </c>
      <c r="J43" s="10">
        <v>1</v>
      </c>
      <c r="K43" s="10"/>
      <c r="L43" s="10"/>
    </row>
    <row r="44" ht="36.75" spans="1:12">
      <c r="A44" s="3"/>
      <c r="B44" s="8">
        <f>ROW(B44)-ROW($B$2)</f>
        <v>42</v>
      </c>
      <c r="C44" s="12" t="s">
        <v>166</v>
      </c>
      <c r="D44" s="13" t="s">
        <v>219</v>
      </c>
      <c r="E44" s="14" t="s">
        <v>220</v>
      </c>
      <c r="F44" s="13" t="s">
        <v>174</v>
      </c>
      <c r="G44" s="14" t="s">
        <v>221</v>
      </c>
      <c r="H44" s="13" t="s">
        <v>222</v>
      </c>
      <c r="I44" s="14" t="s">
        <v>223</v>
      </c>
      <c r="J44" s="13">
        <v>1</v>
      </c>
      <c r="K44" s="13"/>
      <c r="L44" s="13"/>
    </row>
    <row r="45" ht="36.75" spans="1:12">
      <c r="A45" s="3"/>
      <c r="B45" s="8">
        <f>ROW(B45)-ROW($B$2)</f>
        <v>43</v>
      </c>
      <c r="C45" s="9" t="s">
        <v>166</v>
      </c>
      <c r="D45" s="10" t="s">
        <v>224</v>
      </c>
      <c r="E45" s="11" t="s">
        <v>225</v>
      </c>
      <c r="F45" s="10" t="s">
        <v>174</v>
      </c>
      <c r="G45" s="11" t="s">
        <v>226</v>
      </c>
      <c r="H45" s="10" t="s">
        <v>227</v>
      </c>
      <c r="I45" s="11" t="s">
        <v>228</v>
      </c>
      <c r="J45" s="10">
        <v>1</v>
      </c>
      <c r="K45" s="10"/>
      <c r="L45" s="10"/>
    </row>
    <row r="46" ht="24.75" spans="1:12">
      <c r="A46" s="3"/>
      <c r="B46" s="8">
        <f>ROW(B46)-ROW($B$2)</f>
        <v>44</v>
      </c>
      <c r="C46" s="12" t="s">
        <v>166</v>
      </c>
      <c r="D46" s="13" t="s">
        <v>229</v>
      </c>
      <c r="E46" s="14" t="s">
        <v>230</v>
      </c>
      <c r="F46" s="13" t="s">
        <v>174</v>
      </c>
      <c r="G46" s="14" t="s">
        <v>231</v>
      </c>
      <c r="H46" s="13" t="s">
        <v>71</v>
      </c>
      <c r="I46" s="14" t="s">
        <v>232</v>
      </c>
      <c r="J46" s="13">
        <v>2</v>
      </c>
      <c r="K46" s="13"/>
      <c r="L46" s="13"/>
    </row>
    <row r="47" ht="24.75" spans="1:12">
      <c r="A47" s="3"/>
      <c r="B47" s="8">
        <f>ROW(B47)-ROW($B$2)</f>
        <v>45</v>
      </c>
      <c r="C47" s="9" t="s">
        <v>166</v>
      </c>
      <c r="D47" s="10" t="s">
        <v>233</v>
      </c>
      <c r="E47" s="11" t="s">
        <v>234</v>
      </c>
      <c r="F47" s="10" t="s">
        <v>174</v>
      </c>
      <c r="G47" s="11" t="s">
        <v>235</v>
      </c>
      <c r="H47" s="10" t="s">
        <v>71</v>
      </c>
      <c r="I47" s="11" t="s">
        <v>236</v>
      </c>
      <c r="J47" s="10">
        <v>1</v>
      </c>
      <c r="K47" s="10"/>
      <c r="L47" s="10"/>
    </row>
    <row r="48" spans="1:12">
      <c r="A48" s="3"/>
      <c r="B48" s="8">
        <f>ROW(B48)-ROW($B$2)</f>
        <v>46</v>
      </c>
      <c r="C48" s="12" t="s">
        <v>204</v>
      </c>
      <c r="D48" s="13" t="s">
        <v>237</v>
      </c>
      <c r="E48" s="14" t="s">
        <v>238</v>
      </c>
      <c r="F48" s="13" t="s">
        <v>239</v>
      </c>
      <c r="G48" s="14" t="s">
        <v>240</v>
      </c>
      <c r="H48" s="13" t="s">
        <v>144</v>
      </c>
      <c r="I48" s="14" t="s">
        <v>241</v>
      </c>
      <c r="J48" s="13">
        <v>1</v>
      </c>
      <c r="K48" s="13"/>
      <c r="L48" s="13"/>
    </row>
    <row r="49" ht="36.75" spans="1:12">
      <c r="A49" s="3"/>
      <c r="B49" s="8">
        <f>ROW(B49)-ROW($B$2)</f>
        <v>47</v>
      </c>
      <c r="C49" s="9" t="s">
        <v>166</v>
      </c>
      <c r="D49" s="10" t="s">
        <v>242</v>
      </c>
      <c r="E49" s="11" t="s">
        <v>243</v>
      </c>
      <c r="F49" s="10" t="s">
        <v>174</v>
      </c>
      <c r="G49" s="11" t="s">
        <v>244</v>
      </c>
      <c r="H49" s="10" t="s">
        <v>181</v>
      </c>
      <c r="I49" s="11" t="s">
        <v>245</v>
      </c>
      <c r="J49" s="10">
        <v>1</v>
      </c>
      <c r="K49" s="10"/>
      <c r="L49" s="10"/>
    </row>
    <row r="50" spans="1:12">
      <c r="A50" s="3"/>
      <c r="B50" s="8">
        <f>ROW(B50)-ROW($B$2)</f>
        <v>48</v>
      </c>
      <c r="C50" s="12" t="s">
        <v>166</v>
      </c>
      <c r="D50" s="13" t="s">
        <v>246</v>
      </c>
      <c r="E50" s="14" t="s">
        <v>247</v>
      </c>
      <c r="F50" s="13" t="s">
        <v>174</v>
      </c>
      <c r="G50" s="14" t="s">
        <v>248</v>
      </c>
      <c r="H50" s="13" t="s">
        <v>40</v>
      </c>
      <c r="I50" s="14" t="s">
        <v>249</v>
      </c>
      <c r="J50" s="13">
        <v>1</v>
      </c>
      <c r="K50" s="13"/>
      <c r="L50" s="13"/>
    </row>
    <row r="51" ht="24.75" spans="1:12">
      <c r="A51" s="3"/>
      <c r="B51" s="8">
        <f>ROW(B51)-ROW($B$2)</f>
        <v>49</v>
      </c>
      <c r="C51" s="9" t="s">
        <v>166</v>
      </c>
      <c r="D51" s="10" t="s">
        <v>250</v>
      </c>
      <c r="E51" s="11" t="s">
        <v>251</v>
      </c>
      <c r="F51" s="10" t="s">
        <v>174</v>
      </c>
      <c r="G51" s="11" t="s">
        <v>252</v>
      </c>
      <c r="H51" s="10" t="s">
        <v>253</v>
      </c>
      <c r="I51" s="11" t="s">
        <v>254</v>
      </c>
      <c r="J51" s="10">
        <v>1</v>
      </c>
      <c r="K51" s="10"/>
      <c r="L51" s="10"/>
    </row>
    <row r="52" spans="1:12">
      <c r="A52" s="3"/>
      <c r="B52" s="8">
        <f>ROW(B52)-ROW($B$2)</f>
        <v>50</v>
      </c>
      <c r="C52" s="12" t="s">
        <v>255</v>
      </c>
      <c r="D52" s="13" t="s">
        <v>256</v>
      </c>
      <c r="E52" s="14" t="s">
        <v>257</v>
      </c>
      <c r="F52" s="13" t="s">
        <v>258</v>
      </c>
      <c r="G52" s="14" t="s">
        <v>258</v>
      </c>
      <c r="H52" s="13" t="s">
        <v>259</v>
      </c>
      <c r="I52" s="14" t="s">
        <v>258</v>
      </c>
      <c r="J52" s="13">
        <v>2</v>
      </c>
      <c r="K52" s="13"/>
      <c r="L52" s="13"/>
    </row>
    <row r="53" spans="1:12">
      <c r="A53" s="3"/>
      <c r="B53" s="8">
        <f>ROW(B53)-ROW($B$2)</f>
        <v>51</v>
      </c>
      <c r="C53" s="9" t="s">
        <v>260</v>
      </c>
      <c r="D53" s="10" t="s">
        <v>261</v>
      </c>
      <c r="E53" s="11" t="s">
        <v>262</v>
      </c>
      <c r="F53" s="10" t="s">
        <v>263</v>
      </c>
      <c r="G53" s="11" t="s">
        <v>264</v>
      </c>
      <c r="H53" s="10" t="s">
        <v>265</v>
      </c>
      <c r="I53" s="11" t="s">
        <v>264</v>
      </c>
      <c r="J53" s="10">
        <v>1</v>
      </c>
      <c r="K53" s="10"/>
      <c r="L53" s="10"/>
    </row>
    <row r="54" ht="36.75" spans="1:12">
      <c r="A54" s="3"/>
      <c r="B54" s="8">
        <f>ROW(B54)-ROW($B$2)</f>
        <v>52</v>
      </c>
      <c r="C54" s="12" t="s">
        <v>260</v>
      </c>
      <c r="D54" s="13" t="s">
        <v>266</v>
      </c>
      <c r="E54" s="14" t="s">
        <v>267</v>
      </c>
      <c r="F54" s="13" t="s">
        <v>268</v>
      </c>
      <c r="G54" s="14" t="s">
        <v>269</v>
      </c>
      <c r="H54" s="13" t="s">
        <v>270</v>
      </c>
      <c r="I54" s="14" t="s">
        <v>269</v>
      </c>
      <c r="J54" s="13">
        <v>1</v>
      </c>
      <c r="K54" s="13"/>
      <c r="L54" s="13"/>
    </row>
    <row r="55" spans="1:12">
      <c r="A55" s="3"/>
      <c r="B55" s="8">
        <f>ROW(B55)-ROW($B$2)</f>
        <v>53</v>
      </c>
      <c r="C55" s="9" t="s">
        <v>260</v>
      </c>
      <c r="D55" s="10" t="s">
        <v>271</v>
      </c>
      <c r="E55" s="11" t="s">
        <v>272</v>
      </c>
      <c r="F55" s="10" t="s">
        <v>273</v>
      </c>
      <c r="G55" s="11" t="s">
        <v>274</v>
      </c>
      <c r="H55" s="10" t="s">
        <v>275</v>
      </c>
      <c r="I55" s="11" t="s">
        <v>274</v>
      </c>
      <c r="J55" s="10">
        <v>1</v>
      </c>
      <c r="K55" s="10"/>
      <c r="L55" s="10"/>
    </row>
    <row r="56" ht="24.75" spans="1:12">
      <c r="A56" s="3"/>
      <c r="B56" s="8">
        <f>ROW(B56)-ROW($B$2)</f>
        <v>54</v>
      </c>
      <c r="C56" s="12" t="s">
        <v>260</v>
      </c>
      <c r="D56" s="13" t="s">
        <v>276</v>
      </c>
      <c r="E56" s="14" t="s">
        <v>277</v>
      </c>
      <c r="F56" s="13" t="s">
        <v>278</v>
      </c>
      <c r="G56" s="14" t="s">
        <v>279</v>
      </c>
      <c r="H56" s="13" t="s">
        <v>280</v>
      </c>
      <c r="I56" s="14" t="s">
        <v>279</v>
      </c>
      <c r="J56" s="13">
        <v>1</v>
      </c>
      <c r="K56" s="13"/>
      <c r="L56" s="13"/>
    </row>
    <row r="57" ht="24.75" spans="1:12">
      <c r="A57" s="3"/>
      <c r="B57" s="8">
        <f>ROW(B57)-ROW($B$2)</f>
        <v>55</v>
      </c>
      <c r="C57" s="9" t="s">
        <v>260</v>
      </c>
      <c r="D57" s="10" t="s">
        <v>281</v>
      </c>
      <c r="E57" s="11" t="s">
        <v>282</v>
      </c>
      <c r="F57" s="10" t="s">
        <v>283</v>
      </c>
      <c r="G57" s="11" t="s">
        <v>284</v>
      </c>
      <c r="H57" s="10" t="s">
        <v>285</v>
      </c>
      <c r="I57" s="11" t="s">
        <v>284</v>
      </c>
      <c r="J57" s="10">
        <v>1</v>
      </c>
      <c r="K57" s="10"/>
      <c r="L57" s="10"/>
    </row>
    <row r="58" ht="24.75" spans="1:12">
      <c r="A58" s="3"/>
      <c r="B58" s="8">
        <f>ROW(B58)-ROW($B$2)</f>
        <v>56</v>
      </c>
      <c r="C58" s="12" t="s">
        <v>260</v>
      </c>
      <c r="D58" s="13" t="s">
        <v>286</v>
      </c>
      <c r="E58" s="14" t="s">
        <v>287</v>
      </c>
      <c r="F58" s="13" t="s">
        <v>288</v>
      </c>
      <c r="G58" s="14" t="s">
        <v>289</v>
      </c>
      <c r="H58" s="13" t="s">
        <v>290</v>
      </c>
      <c r="I58" s="14" t="s">
        <v>289</v>
      </c>
      <c r="J58" s="13">
        <v>1</v>
      </c>
      <c r="K58" s="13"/>
      <c r="L58" s="13"/>
    </row>
    <row r="59" ht="24.75" spans="1:12">
      <c r="A59" s="3"/>
      <c r="B59" s="8">
        <f>ROW(B59)-ROW($B$2)</f>
        <v>57</v>
      </c>
      <c r="C59" s="9" t="s">
        <v>260</v>
      </c>
      <c r="D59" s="10" t="s">
        <v>291</v>
      </c>
      <c r="E59" s="11" t="s">
        <v>292</v>
      </c>
      <c r="F59" s="10" t="s">
        <v>293</v>
      </c>
      <c r="G59" s="11" t="s">
        <v>294</v>
      </c>
      <c r="H59" s="10" t="s">
        <v>295</v>
      </c>
      <c r="I59" s="11" t="s">
        <v>294</v>
      </c>
      <c r="J59" s="10">
        <v>1</v>
      </c>
      <c r="K59" s="10"/>
      <c r="L59" s="10"/>
    </row>
    <row r="60" ht="24.75" spans="1:12">
      <c r="A60" s="3"/>
      <c r="B60" s="8">
        <f>ROW(B60)-ROW($B$2)</f>
        <v>58</v>
      </c>
      <c r="C60" s="12" t="s">
        <v>260</v>
      </c>
      <c r="D60" s="13" t="s">
        <v>296</v>
      </c>
      <c r="E60" s="14" t="s">
        <v>297</v>
      </c>
      <c r="F60" s="13" t="s">
        <v>268</v>
      </c>
      <c r="G60" s="14" t="s">
        <v>298</v>
      </c>
      <c r="H60" s="13" t="s">
        <v>275</v>
      </c>
      <c r="I60" s="14" t="s">
        <v>298</v>
      </c>
      <c r="J60" s="13">
        <v>3</v>
      </c>
      <c r="K60" s="13"/>
      <c r="L60" s="13"/>
    </row>
    <row r="61" ht="36.75" spans="1:12">
      <c r="A61" s="3"/>
      <c r="B61" s="8">
        <f>ROW(B61)-ROW($B$2)</f>
        <v>59</v>
      </c>
      <c r="C61" s="9" t="s">
        <v>260</v>
      </c>
      <c r="D61" s="10" t="s">
        <v>299</v>
      </c>
      <c r="E61" s="11" t="s">
        <v>300</v>
      </c>
      <c r="F61" s="10" t="s">
        <v>268</v>
      </c>
      <c r="G61" s="11" t="s">
        <v>301</v>
      </c>
      <c r="H61" s="10" t="s">
        <v>302</v>
      </c>
      <c r="I61" s="11" t="s">
        <v>301</v>
      </c>
      <c r="J61" s="10">
        <v>1</v>
      </c>
      <c r="K61" s="10"/>
      <c r="L61" s="10"/>
    </row>
    <row r="62" ht="24.75" spans="1:12">
      <c r="A62" s="3"/>
      <c r="B62" s="8">
        <f>ROW(B62)-ROW($B$2)</f>
        <v>60</v>
      </c>
      <c r="C62" s="12" t="s">
        <v>303</v>
      </c>
      <c r="D62" s="13" t="s">
        <v>304</v>
      </c>
      <c r="E62" s="14" t="s">
        <v>305</v>
      </c>
      <c r="F62" s="13" t="s">
        <v>306</v>
      </c>
      <c r="G62" s="14" t="s">
        <v>307</v>
      </c>
      <c r="H62" s="13" t="s">
        <v>308</v>
      </c>
      <c r="I62" s="14" t="s">
        <v>309</v>
      </c>
      <c r="J62" s="13">
        <v>1</v>
      </c>
      <c r="K62" s="13"/>
      <c r="L62" s="13"/>
    </row>
    <row r="63" s="1" customFormat="1" ht="15.75" spans="1:12">
      <c r="A63" s="17"/>
      <c r="B63" s="8">
        <f>ROW(B63)-ROW($B$2)</f>
        <v>61</v>
      </c>
      <c r="C63" s="12" t="s">
        <v>310</v>
      </c>
      <c r="D63" s="13" t="s">
        <v>119</v>
      </c>
      <c r="E63" s="14" t="s">
        <v>311</v>
      </c>
      <c r="F63" s="10" t="s">
        <v>119</v>
      </c>
      <c r="G63" s="14" t="s">
        <v>312</v>
      </c>
      <c r="H63" s="13" t="s">
        <v>313</v>
      </c>
      <c r="I63" s="14"/>
      <c r="J63" s="13">
        <v>1</v>
      </c>
      <c r="K63" s="21"/>
      <c r="L63" s="21"/>
    </row>
    <row r="64" s="1" customFormat="1" ht="15.75" spans="1:12">
      <c r="A64" s="17"/>
      <c r="B64" s="8">
        <f>ROW(B64)-ROW($B$2)</f>
        <v>62</v>
      </c>
      <c r="C64" s="12" t="s">
        <v>310</v>
      </c>
      <c r="D64" s="13" t="s">
        <v>119</v>
      </c>
      <c r="E64" s="14"/>
      <c r="F64" s="10"/>
      <c r="G64" s="14" t="s">
        <v>314</v>
      </c>
      <c r="H64" s="13"/>
      <c r="I64" s="14"/>
      <c r="J64" s="13">
        <v>1</v>
      </c>
      <c r="K64" s="22"/>
      <c r="L64" s="22"/>
    </row>
    <row r="65" s="1" customFormat="1" ht="15.75" spans="1:12">
      <c r="A65" s="17"/>
      <c r="B65" s="8">
        <f>ROW(B65)-ROW($B$2)</f>
        <v>63</v>
      </c>
      <c r="C65" s="12" t="s">
        <v>310</v>
      </c>
      <c r="D65" s="13" t="s">
        <v>119</v>
      </c>
      <c r="E65" s="14"/>
      <c r="F65" s="10"/>
      <c r="G65" s="14" t="s">
        <v>315</v>
      </c>
      <c r="H65" s="13"/>
      <c r="I65" s="14"/>
      <c r="J65" s="13">
        <v>1</v>
      </c>
      <c r="K65" s="21"/>
      <c r="L65" s="21"/>
    </row>
    <row r="66" s="1" customFormat="1" ht="15.75" spans="1:12">
      <c r="A66" s="17"/>
      <c r="B66" s="8">
        <f>ROW(B66)-ROW($B$2)</f>
        <v>64</v>
      </c>
      <c r="C66" s="12" t="s">
        <v>310</v>
      </c>
      <c r="D66" s="13" t="s">
        <v>119</v>
      </c>
      <c r="E66" s="14"/>
      <c r="F66" s="10"/>
      <c r="G66" s="14" t="s">
        <v>316</v>
      </c>
      <c r="H66" s="13"/>
      <c r="I66" s="14"/>
      <c r="J66" s="13">
        <v>1</v>
      </c>
      <c r="K66" s="21"/>
      <c r="L66" s="21"/>
    </row>
    <row r="67" s="1" customFormat="1" ht="15.75" spans="1:12">
      <c r="A67" s="17"/>
      <c r="B67" s="8">
        <f>ROW(B67)-ROW($B$2)</f>
        <v>65</v>
      </c>
      <c r="C67" s="12" t="s">
        <v>310</v>
      </c>
      <c r="D67" s="13" t="s">
        <v>119</v>
      </c>
      <c r="E67" s="14"/>
      <c r="F67" s="10"/>
      <c r="G67" s="14" t="s">
        <v>317</v>
      </c>
      <c r="H67" s="13"/>
      <c r="I67" s="14"/>
      <c r="J67" s="13">
        <v>1</v>
      </c>
      <c r="K67" s="21"/>
      <c r="L67" s="21"/>
    </row>
    <row r="68" s="1" customFormat="1" spans="1:13">
      <c r="A68" s="17"/>
      <c r="B68" s="23"/>
      <c r="C68" s="24"/>
      <c r="D68" s="25"/>
      <c r="E68" s="26"/>
      <c r="F68" s="27"/>
      <c r="G68" s="28"/>
      <c r="H68" s="27"/>
      <c r="I68" s="28"/>
      <c r="J68" s="28"/>
      <c r="K68" s="28"/>
      <c r="L68" s="28"/>
      <c r="M68" s="33"/>
    </row>
    <row r="69" s="1" customFormat="1" ht="15.75" spans="1:13">
      <c r="A69" s="17"/>
      <c r="B69" s="29"/>
      <c r="C69" s="30"/>
      <c r="D69" s="31"/>
      <c r="E69" s="32"/>
      <c r="F69" s="32"/>
      <c r="G69" s="32"/>
      <c r="H69" s="32"/>
      <c r="I69" s="32"/>
      <c r="J69" s="32"/>
      <c r="K69" s="32"/>
      <c r="L69" s="32"/>
      <c r="M69" s="34"/>
    </row>
  </sheetData>
  <mergeCells count="1">
    <mergeCell ref="I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2024-01-26T13:32:52Z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3F3E990C215A4EB38311AD30580F62A3_13</vt:lpwstr>
  </property>
  <property fmtid="{D5CDD505-2E9C-101B-9397-08002B2CF9AE}" pid="3" name="KSOProductBuildVer">
    <vt:lpwstr>1033-12.2.0.13431</vt:lpwstr>
  </property>
</Properties>
</file>