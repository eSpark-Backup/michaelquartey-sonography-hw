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michaelquartey-sonographydevice-hw\Design_Files\Project Outputs for Sonography-v1.0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2" i="1" l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<sst xmlns="http://schemas.openxmlformats.org/spreadsheetml/2006/main" count="424" uniqueCount="306">
  <si>
    <t>#</t>
  </si>
  <si>
    <t>Item Type</t>
  </si>
  <si>
    <t>Capacitor</t>
  </si>
  <si>
    <t>Electrolytic Capacitor</t>
  </si>
  <si>
    <t>Diode</t>
  </si>
  <si>
    <t>Schottky Barrier Diodes</t>
  </si>
  <si>
    <t>Fuse</t>
  </si>
  <si>
    <t>Connector</t>
  </si>
  <si>
    <t>SMD Pad</t>
  </si>
  <si>
    <t>Male Header</t>
  </si>
  <si>
    <t>Inductor</t>
  </si>
  <si>
    <t>Mosfet</t>
  </si>
  <si>
    <t>Resistor</t>
  </si>
  <si>
    <t>Potentiometer</t>
  </si>
  <si>
    <t>Switch</t>
  </si>
  <si>
    <t>Regulator</t>
  </si>
  <si>
    <t>IC</t>
  </si>
  <si>
    <t>Crystal</t>
  </si>
  <si>
    <t>Designator</t>
  </si>
  <si>
    <t>ANT1</t>
  </si>
  <si>
    <t>C1, C13, C18, C23, C27, C29</t>
  </si>
  <si>
    <t>C2, C3, C8, C16, C17, C19, C24, C25, C26, C28, C30, C37, C40, C41, C42, C43, C46, C47, C48, C49</t>
  </si>
  <si>
    <t>C4, C5, C6, C7, C11, C15, C22</t>
  </si>
  <si>
    <t>C9, C10, C14</t>
  </si>
  <si>
    <t>C12</t>
  </si>
  <si>
    <t>C20</t>
  </si>
  <si>
    <t>C21</t>
  </si>
  <si>
    <t>C31, C32</t>
  </si>
  <si>
    <t>C33, C35</t>
  </si>
  <si>
    <t>C34</t>
  </si>
  <si>
    <t>C36</t>
  </si>
  <si>
    <t>C38</t>
  </si>
  <si>
    <t>C39, C44, C45, C50, C51, C52</t>
  </si>
  <si>
    <t>D1</t>
  </si>
  <si>
    <t>D2</t>
  </si>
  <si>
    <t>D3</t>
  </si>
  <si>
    <t>D4</t>
  </si>
  <si>
    <t>D5</t>
  </si>
  <si>
    <t>F1</t>
  </si>
  <si>
    <t>J1</t>
  </si>
  <si>
    <t>J3</t>
  </si>
  <si>
    <t>J4, J6</t>
  </si>
  <si>
    <t>J5</t>
  </si>
  <si>
    <t>L1</t>
  </si>
  <si>
    <t>L2</t>
  </si>
  <si>
    <t>L3</t>
  </si>
  <si>
    <t>L4</t>
  </si>
  <si>
    <t>L5</t>
  </si>
  <si>
    <t>Q1</t>
  </si>
  <si>
    <t>R2, R4</t>
  </si>
  <si>
    <t>R3</t>
  </si>
  <si>
    <t>R5</t>
  </si>
  <si>
    <t>R6</t>
  </si>
  <si>
    <t>R8</t>
  </si>
  <si>
    <t>R11</t>
  </si>
  <si>
    <t>R12, R18, R19, R25, R30</t>
  </si>
  <si>
    <t>R13</t>
  </si>
  <si>
    <t>R14</t>
  </si>
  <si>
    <t>R15, R16</t>
  </si>
  <si>
    <t>R17</t>
  </si>
  <si>
    <t>R20</t>
  </si>
  <si>
    <t>R21</t>
  </si>
  <si>
    <t>R22, R26</t>
  </si>
  <si>
    <t>R23</t>
  </si>
  <si>
    <t>R24</t>
  </si>
  <si>
    <t>R27</t>
  </si>
  <si>
    <t>R28</t>
  </si>
  <si>
    <t>R29</t>
  </si>
  <si>
    <t>SW2</t>
  </si>
  <si>
    <t>U1</t>
  </si>
  <si>
    <t>U2</t>
  </si>
  <si>
    <t>U3</t>
  </si>
  <si>
    <t>U4</t>
  </si>
  <si>
    <t>U5</t>
  </si>
  <si>
    <t>U6</t>
  </si>
  <si>
    <t>U7</t>
  </si>
  <si>
    <t>U8, U9, U10</t>
  </si>
  <si>
    <t>U11</t>
  </si>
  <si>
    <t>X1</t>
  </si>
  <si>
    <t>Description</t>
  </si>
  <si>
    <t>SMD Antennas ROHS</t>
  </si>
  <si>
    <t>CAP CER 1UF 16V X5R 0201</t>
  </si>
  <si>
    <t>CAP CER 0.1UF 25V X5R 0201</t>
  </si>
  <si>
    <t>10uF 35V X5R 20% Pad SMD 0603</t>
  </si>
  <si>
    <t>10uF 25V 2.5Ω@100kHz ±10% CASE-B-3528 Tantalum Capacitors ROHS</t>
  </si>
  <si>
    <t>250V 1uF X7R ±10% 1812 Multilayer Ceramic Capacitors MLCC - SMD/SMT ROHS</t>
  </si>
  <si>
    <t>CAP CER 2.7PF 50V C0G/NPO 0201</t>
  </si>
  <si>
    <t>CAP CER 4.7PF 50V C0G/NPO 0201</t>
  </si>
  <si>
    <t>CAP CER 22PF 50V C0G/NP0 0201</t>
  </si>
  <si>
    <t>200V 100nF X7R ±10% 0805 Multilayer Ceramic Capacitors MLCC - SMD/SMT ROHS</t>
  </si>
  <si>
    <t>22uF 200V 320mA@100kHz ±20% SMD,D8xL16.5mm Aluminum Electrolytic Capacitors - SMD ROHS</t>
  </si>
  <si>
    <t>47uF 25V 0.9Ω@100kHz ±10% CASE-D-7343 Tantalum Capacitors ROHS</t>
  </si>
  <si>
    <t>50V 50pF C0G ±5% 0402 Multilayer Ceramic Capacitors MLCC - SMD/SMT ROHS</t>
  </si>
  <si>
    <t>50V 1nF X7R ±10% 0201 Multilayer Ceramic Capacitors MLCC - SMD/SMT ROHS</t>
  </si>
  <si>
    <t>40V 3A 550mV@3A SMA(DO-214AC) Schottky Barrier Diodes (SBD) ROHS</t>
  </si>
  <si>
    <t>Diode Schottky 150V 500mA 2-Pin SOD-323HE Emboss T/R</t>
  </si>
  <si>
    <t>100V 400mW Single 1.25V@150mA 8ns 300mA SOD-123 Switching Diode ROHS</t>
  </si>
  <si>
    <t>±5% Single 3.1V~3.5V 300mW 3.3V SOD-323 Zener Diodes ROHS</t>
  </si>
  <si>
    <t>10.1A 200W 19.9V 13.3V 12V SOD-123F Electrostatic and Surge Protection (TVS/ESD) ROHS</t>
  </si>
  <si>
    <t>10V 2A 100A 4A 2018 Resettable Fuses ROHS</t>
  </si>
  <si>
    <t>Gold 250V 3A Brick nogging Square Pins 2.5mm 2P 260℃ 6mm -40℃~+105℃ 2.54mm 双排 Black Brass 2x1P SMD,P=2.54mm Pin Headers ROHS</t>
  </si>
  <si>
    <t>1x6P</t>
  </si>
  <si>
    <t>Wire Connecting Pad</t>
  </si>
  <si>
    <t>CONN HEADER VERT 2POS 2.54MM</t>
  </si>
  <si>
    <t>3A 47uH Molding Choke ±20% 4.5A SMD Power Inductors ROHS</t>
  </si>
  <si>
    <t>Ind Power Unshielded Wirewound 100uH 10% 100KHz 25Q-Factor Ferrite 1.9A T/R</t>
  </si>
  <si>
    <t>FIXED IND 1.6NH 1A 50 MOHM SMD</t>
  </si>
  <si>
    <t>140mA 24nH ±3% 2.3Ω 0201 Inductors (SMD) ROHS</t>
  </si>
  <si>
    <t>FIXED IND 2NH 600MA 100 MOHM SMD</t>
  </si>
  <si>
    <t>200V 5A 78W 580mΩ@10V,2.5A 3V@250uA N Channel TO-252-2(DPAK) MOSFETs ROHS</t>
  </si>
  <si>
    <t>125mW ±100ppm/℃ ±0.5% 1MΩ 0402 Chip Resistor - Surface Mount ROHS</t>
  </si>
  <si>
    <t>SMD Chip Resistor, 287 kOhm, ± 1%, 50 mW, 0201 [0603 Metric], Thick Film, General Purpose</t>
  </si>
  <si>
    <t>50mW Thick Film Resistors 25V ±1% ±200ppm/℃ 16.2kΩ 0201 Chip Resistor - Surface Mount ROHS</t>
  </si>
  <si>
    <t>Res Thick Film 0201 154K Ohm 1% 1/20W ±200ppm/°C Molded SMD Paper T/R</t>
  </si>
  <si>
    <t>RES 499 OHM 1% 1/20W 0201</t>
  </si>
  <si>
    <t>RES SMD 10K OHM 1% 1/20W 0201</t>
  </si>
  <si>
    <t>TRIMMER 10K OHM 0.1W J LEAD TOP</t>
  </si>
  <si>
    <t>RES SMD 3K OHM 1% 1/3W 0603</t>
  </si>
  <si>
    <t>1W Thick Film Resistors 200V ±100ppm/℃ ±5% 51Ω 2512 Chip Resistor - Surface Mount ROHS</t>
  </si>
  <si>
    <t>RESISTOR 0402 JUMPER ZERO OHM</t>
  </si>
  <si>
    <t>RES SMD 10K OHM 5% 1/4W 0603</t>
  </si>
  <si>
    <t>50mW Thick Film Resistors ±5% ±200ppm/℃ 68Ω 0201 Chip Resistor - Surface Mount ROHS</t>
  </si>
  <si>
    <t>50mW Thick Film Resistors ±200ppm/℃ ±5% 820Ω 0201 Chip Resistor - Surface Mount ROHS</t>
  </si>
  <si>
    <t>50mW ±1% ±200ppm/℃ 330Ω 0201 Chip Resistor - Surface Mount ROHS</t>
  </si>
  <si>
    <t>50mW ±5% ±200ppm/℃ 470Ω 0201 Chip Resistor - Surface Mount ROHS</t>
  </si>
  <si>
    <t>TRIMMER 100K OHM 0.1W J LEAD TOP</t>
  </si>
  <si>
    <t>50mW Thick Film Resistors ±5% ±200ppm/℃ 1.5kΩ 0201 Chip Resistor - Surface Mount ROHS</t>
  </si>
  <si>
    <t>RES 1K OHM 1% 1/20W 0201</t>
  </si>
  <si>
    <t>50mW ±1% 100Ω 0201 Chip Resistor - Surface Mount ROHS</t>
  </si>
  <si>
    <t>SWITCH TACTILE SPST-NO 0.05A 12V</t>
  </si>
  <si>
    <t>IC REG BUCK 3.3V 2A 8SOIC</t>
  </si>
  <si>
    <t>Charge Pump INV/STPUP/STPDN -1.5V to -10V 100mA 8-Pin SOIC T/R / IC REG SWITCHD CAP INV 8SOIC</t>
  </si>
  <si>
    <t>IC REG MULTI CONFG ADJ 16MSOP</t>
  </si>
  <si>
    <t>SOT-223 Linear Voltage Regulators (LDO) ROHS</t>
  </si>
  <si>
    <t>21dBm ESP32-S3R8 2.4GHz SMD WiFi Modules ROHS</t>
  </si>
  <si>
    <t>45ns 4.75V~5.25V SOIC-14 Monostable Multivibrators ROHS</t>
  </si>
  <si>
    <t>MOSFET 4.5V~15V SOIC-8 Gate Drive ICs ROHS</t>
  </si>
  <si>
    <t>Video Amplifier, 1, 140 Mhz, 2500 V/ S, 0 C, 70 C, 100 Ma Rohs Compliant: Yes</t>
  </si>
  <si>
    <t>Very High Speed, High Output Current, Voltage Feedback Amplifier 8-SOIC -40 to 85</t>
  </si>
  <si>
    <t>40MHz SMD Crystal Resonator 15pF SMD3225-4P Crystals ROHS</t>
  </si>
  <si>
    <t>Footprint</t>
  </si>
  <si>
    <t>AN6520-245</t>
  </si>
  <si>
    <t>CAP-0201</t>
  </si>
  <si>
    <t>Cap-0603</t>
  </si>
  <si>
    <t>Case-B</t>
  </si>
  <si>
    <t>Cap-1812</t>
  </si>
  <si>
    <t>Cap-0805</t>
  </si>
  <si>
    <t>VKMD1652D220MV</t>
  </si>
  <si>
    <t>Case-D</t>
  </si>
  <si>
    <t>Cap-0402</t>
  </si>
  <si>
    <t>SMA(DO-214AC)</t>
  </si>
  <si>
    <t>SOD-323HE</t>
  </si>
  <si>
    <t>SOD-123</t>
  </si>
  <si>
    <t>SOD-323</t>
  </si>
  <si>
    <t>SOD-123F</t>
  </si>
  <si>
    <t>SMD2018-200</t>
  </si>
  <si>
    <t>X6521WVS-2x01H-C60D74</t>
  </si>
  <si>
    <t>1x6p</t>
  </si>
  <si>
    <t>1P SMD PAD</t>
  </si>
  <si>
    <t>HDR1X2_</t>
  </si>
  <si>
    <t>SMMS1050-470M</t>
  </si>
  <si>
    <t>SDR1307A-101K</t>
  </si>
  <si>
    <t>IND-0201</t>
  </si>
  <si>
    <t>DPAK</t>
  </si>
  <si>
    <t>Res-0402</t>
  </si>
  <si>
    <t>Res-0201</t>
  </si>
  <si>
    <t>TC33X-2-103E_</t>
  </si>
  <si>
    <t>Res-0603</t>
  </si>
  <si>
    <t>RES-2512</t>
  </si>
  <si>
    <t>TC33X-2-104E_</t>
  </si>
  <si>
    <t>B3U-1000P</t>
  </si>
  <si>
    <t>SOP-8L</t>
  </si>
  <si>
    <t>SOIC-8(0.154", 3.90mm Width)</t>
  </si>
  <si>
    <t>16-MSOP-EP</t>
  </si>
  <si>
    <t>SOT- 223</t>
  </si>
  <si>
    <t>QFNWB-56 (7×7)</t>
  </si>
  <si>
    <t>SOIC-14</t>
  </si>
  <si>
    <t>SOIC-8(0.150", 3.80mm Width)</t>
  </si>
  <si>
    <t>X322540MPB4SI_</t>
  </si>
  <si>
    <t>Manufacturer Part Number</t>
  </si>
  <si>
    <t>GRM033R61C105ME15D</t>
  </si>
  <si>
    <t>GRM033R61E104KE14D</t>
  </si>
  <si>
    <t>GRM188R6YA106MA73D</t>
  </si>
  <si>
    <t>CA45-B025K106T</t>
  </si>
  <si>
    <t>FS43X105K251EGG</t>
  </si>
  <si>
    <t>CC0201CRNPO9BN2R7</t>
  </si>
  <si>
    <t>CC0201BRNPO9BN4R7</t>
  </si>
  <si>
    <t>GRM0335C1H220JA01D</t>
  </si>
  <si>
    <t>FM21X104K201ECG</t>
  </si>
  <si>
    <t>CA45-D025K476T</t>
  </si>
  <si>
    <t>0402CG500J500NT</t>
  </si>
  <si>
    <t>0201B102K500NT</t>
  </si>
  <si>
    <t>B340A</t>
  </si>
  <si>
    <t>RB558VAM150TR</t>
  </si>
  <si>
    <t>1N4148W</t>
  </si>
  <si>
    <t>MM3Z3V3</t>
  </si>
  <si>
    <t>SMF12A</t>
  </si>
  <si>
    <t>LQP03HQ1N6B02D</t>
  </si>
  <si>
    <t>LQP03TN24NH02D</t>
  </si>
  <si>
    <t>MLG0603P2N0CT000</t>
  </si>
  <si>
    <t>5N20A-252</t>
  </si>
  <si>
    <t>WF04H1004DTL</t>
  </si>
  <si>
    <t>RC0201FR-07287KL</t>
  </si>
  <si>
    <t>RTT011622FTH</t>
  </si>
  <si>
    <t>RC0201FR-07154KL</t>
  </si>
  <si>
    <t>RC0201FR-07499RL</t>
  </si>
  <si>
    <t>RC0201FR-0710KL</t>
  </si>
  <si>
    <t>TC33X-2-103E</t>
  </si>
  <si>
    <t>CRCW06033K00FKEAHP</t>
  </si>
  <si>
    <t>RC2512JK-0751RL</t>
  </si>
  <si>
    <t>AC0402FR-070RL</t>
  </si>
  <si>
    <t>ESR03EZPJ103</t>
  </si>
  <si>
    <t>0201WMJ0680TEE</t>
  </si>
  <si>
    <t>WR02X821JAL</t>
  </si>
  <si>
    <t>RC-01W3300FT</t>
  </si>
  <si>
    <t>RC-01W471JT</t>
  </si>
  <si>
    <t>TC33X-2-104E</t>
  </si>
  <si>
    <t>RTT01152JTH</t>
  </si>
  <si>
    <t>RC0201FR-071KL</t>
  </si>
  <si>
    <t>CR0201FH1000G</t>
  </si>
  <si>
    <t>AP1509-33SG-13</t>
  </si>
  <si>
    <t>TL7660CDR</t>
  </si>
  <si>
    <t>LT8331IMSE#TRPBF</t>
  </si>
  <si>
    <t>AMS1117-5.0</t>
  </si>
  <si>
    <t>ESP32-S3FH4R2</t>
  </si>
  <si>
    <t>SN74121D</t>
  </si>
  <si>
    <t>ICL7667CBAZA</t>
  </si>
  <si>
    <t>AD811JRZ</t>
  </si>
  <si>
    <t>LM7171AIMX/NOPB</t>
  </si>
  <si>
    <t>X322540MPB4SI</t>
  </si>
  <si>
    <t>Manufacturer</t>
  </si>
  <si>
    <t>Rainsun microwave Tech</t>
  </si>
  <si>
    <t>Murata</t>
  </si>
  <si>
    <t>Xiangyee in S&amp;T</t>
  </si>
  <si>
    <t>PSA</t>
  </si>
  <si>
    <t>Yageo</t>
  </si>
  <si>
    <t>Ymin</t>
  </si>
  <si>
    <t>Hunan Xiangyee in S&amp;T</t>
  </si>
  <si>
    <t>FH</t>
  </si>
  <si>
    <t>FUXINSEMI</t>
  </si>
  <si>
    <t>Rohm</t>
  </si>
  <si>
    <t>JSMSEMI</t>
  </si>
  <si>
    <t>Shandong Jingdao Microelectronics</t>
  </si>
  <si>
    <t>Tech Fuse</t>
  </si>
  <si>
    <t>XKB Connectivity</t>
  </si>
  <si>
    <t>TE Connectivity</t>
  </si>
  <si>
    <t>SXN</t>
  </si>
  <si>
    <t>Bourns</t>
  </si>
  <si>
    <t>TDK</t>
  </si>
  <si>
    <t>GOFRD</t>
  </si>
  <si>
    <t>YAGEO</t>
  </si>
  <si>
    <t>RALEC</t>
  </si>
  <si>
    <t>Vishay Intertech</t>
  </si>
  <si>
    <t>ROHM Semicon</t>
  </si>
  <si>
    <t>UNI-ROYAL</t>
  </si>
  <si>
    <t>Walsin Tech Corp</t>
  </si>
  <si>
    <t>LIZ ELEC</t>
  </si>
  <si>
    <t>Omron</t>
  </si>
  <si>
    <t>Diodes</t>
  </si>
  <si>
    <t>Texas Instruments</t>
  </si>
  <si>
    <t>Analog Devices</t>
  </si>
  <si>
    <t>HX(hengjiaxing)</t>
  </si>
  <si>
    <t>Espressif Systems</t>
  </si>
  <si>
    <t>Taxes Instrument</t>
  </si>
  <si>
    <t>RENESAS</t>
  </si>
  <si>
    <t>TI National Semiconductor</t>
  </si>
  <si>
    <t>Yangxing Tech</t>
  </si>
  <si>
    <t>Comment</t>
  </si>
  <si>
    <t>1uF</t>
  </si>
  <si>
    <t>0.1uF</t>
  </si>
  <si>
    <t>10uF</t>
  </si>
  <si>
    <t>2.7pF</t>
  </si>
  <si>
    <t>4.7pF</t>
  </si>
  <si>
    <t>22pF</t>
  </si>
  <si>
    <t>100nF</t>
  </si>
  <si>
    <t>22uF</t>
  </si>
  <si>
    <t>47uF</t>
  </si>
  <si>
    <t>50pF</t>
  </si>
  <si>
    <t>1nF</t>
  </si>
  <si>
    <t>826629-2</t>
  </si>
  <si>
    <t>47uH</t>
  </si>
  <si>
    <t>100uH</t>
  </si>
  <si>
    <t>1.6nH</t>
  </si>
  <si>
    <t>24nH</t>
  </si>
  <si>
    <t>2nH</t>
  </si>
  <si>
    <t>1M</t>
  </si>
  <si>
    <t>287K</t>
  </si>
  <si>
    <t>16.2K</t>
  </si>
  <si>
    <t>154K</t>
  </si>
  <si>
    <t>499R</t>
  </si>
  <si>
    <t>10K</t>
  </si>
  <si>
    <t>3K</t>
  </si>
  <si>
    <t>51R</t>
  </si>
  <si>
    <t>0R</t>
  </si>
  <si>
    <t>68R</t>
  </si>
  <si>
    <t>820R</t>
  </si>
  <si>
    <t>330R</t>
  </si>
  <si>
    <t>470R</t>
  </si>
  <si>
    <t>100K</t>
  </si>
  <si>
    <t>1.5K</t>
  </si>
  <si>
    <t>1K</t>
  </si>
  <si>
    <t>100R</t>
  </si>
  <si>
    <t>40MHz</t>
  </si>
  <si>
    <t>Quantity</t>
  </si>
  <si>
    <t>Antenna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</si>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</sst>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2"/>
  <sheetViews>
    <sheetView tabSelected="1" zoomScale="70" zoomScaleNormal="70" workbookViewId="0">
      <selection activeCell="M12" sqref="M1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79</v>
      </c>
      <c r="F2" s="5" t="s">
        <v>140</v>
      </c>
      <c r="G2" s="6" t="s">
        <v>179</v>
      </c>
      <c r="H2" s="5" t="s">
        <v>230</v>
      </c>
      <c r="I2" s="6" t="s">
        <v>267</v>
      </c>
      <c r="J2" s="5" t="s">
        <v>303</v>
      </c>
      <c r="K2" s="5" t="s">
        <v>305</v>
      </c>
    </row>
    <row r="3" spans="1:11" ht="15.75" thickBot="1" x14ac:dyDescent="0.3">
      <c r="A3" s="1"/>
      <c r="B3" s="11">
        <f>ROW(B3) - ROW($B$2)</f>
        <v>1</v>
      </c>
      <c r="C3" s="12" t="s">
        <v>304</v>
      </c>
      <c r="D3" s="7" t="s">
        <v>19</v>
      </c>
      <c r="E3" s="8" t="s">
        <v>80</v>
      </c>
      <c r="F3" s="7" t="s">
        <v>141</v>
      </c>
      <c r="G3" s="8" t="s">
        <v>141</v>
      </c>
      <c r="H3" s="7" t="s">
        <v>231</v>
      </c>
      <c r="I3" s="8" t="s">
        <v>141</v>
      </c>
      <c r="J3" s="7">
        <v>1</v>
      </c>
      <c r="K3" s="7"/>
    </row>
    <row r="4" spans="1:11" ht="15.75" thickBot="1" x14ac:dyDescent="0.3">
      <c r="A4" s="1"/>
      <c r="B4" s="11">
        <f t="shared" ref="B4:B62" si="0">ROW(B4) - ROW($B$2)</f>
        <v>2</v>
      </c>
      <c r="C4" s="13" t="s">
        <v>2</v>
      </c>
      <c r="D4" s="9" t="s">
        <v>20</v>
      </c>
      <c r="E4" s="10" t="s">
        <v>81</v>
      </c>
      <c r="F4" s="9" t="s">
        <v>142</v>
      </c>
      <c r="G4" s="10" t="s">
        <v>180</v>
      </c>
      <c r="H4" s="9" t="s">
        <v>232</v>
      </c>
      <c r="I4" s="10" t="s">
        <v>268</v>
      </c>
      <c r="J4" s="9">
        <v>6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82</v>
      </c>
      <c r="F5" s="7" t="s">
        <v>142</v>
      </c>
      <c r="G5" s="8" t="s">
        <v>181</v>
      </c>
      <c r="H5" s="7" t="s">
        <v>232</v>
      </c>
      <c r="I5" s="8" t="s">
        <v>269</v>
      </c>
      <c r="J5" s="7">
        <v>20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22</v>
      </c>
      <c r="E6" s="10" t="s">
        <v>83</v>
      </c>
      <c r="F6" s="9" t="s">
        <v>143</v>
      </c>
      <c r="G6" s="10" t="s">
        <v>182</v>
      </c>
      <c r="H6" s="9" t="s">
        <v>232</v>
      </c>
      <c r="I6" s="10" t="s">
        <v>270</v>
      </c>
      <c r="J6" s="9">
        <v>7</v>
      </c>
      <c r="K6" s="9"/>
    </row>
    <row r="7" spans="1:11" ht="24.75" thickBot="1" x14ac:dyDescent="0.3">
      <c r="A7" s="1"/>
      <c r="B7" s="11">
        <f>ROW(B7) - ROW($B$2)</f>
        <v>5</v>
      </c>
      <c r="C7" s="12" t="s">
        <v>2</v>
      </c>
      <c r="D7" s="7" t="s">
        <v>23</v>
      </c>
      <c r="E7" s="8" t="s">
        <v>84</v>
      </c>
      <c r="F7" s="7" t="s">
        <v>144</v>
      </c>
      <c r="G7" s="8" t="s">
        <v>183</v>
      </c>
      <c r="H7" s="7" t="s">
        <v>233</v>
      </c>
      <c r="I7" s="8" t="s">
        <v>270</v>
      </c>
      <c r="J7" s="7">
        <v>3</v>
      </c>
      <c r="K7" s="7"/>
    </row>
    <row r="8" spans="1:11" ht="36.75" thickBot="1" x14ac:dyDescent="0.3">
      <c r="A8" s="1"/>
      <c r="B8" s="11">
        <f t="shared" si="0"/>
        <v>6</v>
      </c>
      <c r="C8" s="12" t="s">
        <v>2</v>
      </c>
      <c r="D8" s="9" t="s">
        <v>24</v>
      </c>
      <c r="E8" s="10" t="s">
        <v>85</v>
      </c>
      <c r="F8" s="9" t="s">
        <v>145</v>
      </c>
      <c r="G8" s="10" t="s">
        <v>184</v>
      </c>
      <c r="H8" s="9" t="s">
        <v>234</v>
      </c>
      <c r="I8" s="10" t="s">
        <v>268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25</v>
      </c>
      <c r="E9" s="8" t="s">
        <v>86</v>
      </c>
      <c r="F9" s="7" t="s">
        <v>142</v>
      </c>
      <c r="G9" s="8" t="s">
        <v>185</v>
      </c>
      <c r="H9" s="7" t="s">
        <v>235</v>
      </c>
      <c r="I9" s="8" t="s">
        <v>271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26</v>
      </c>
      <c r="E10" s="10" t="s">
        <v>87</v>
      </c>
      <c r="F10" s="9" t="s">
        <v>142</v>
      </c>
      <c r="G10" s="10" t="s">
        <v>186</v>
      </c>
      <c r="H10" s="9" t="s">
        <v>235</v>
      </c>
      <c r="I10" s="10" t="s">
        <v>272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27</v>
      </c>
      <c r="E11" s="8" t="s">
        <v>88</v>
      </c>
      <c r="F11" s="7" t="s">
        <v>142</v>
      </c>
      <c r="G11" s="8" t="s">
        <v>187</v>
      </c>
      <c r="H11" s="7" t="s">
        <v>232</v>
      </c>
      <c r="I11" s="8" t="s">
        <v>273</v>
      </c>
      <c r="J11" s="7">
        <v>2</v>
      </c>
      <c r="K11" s="7"/>
    </row>
    <row r="12" spans="1:11" ht="36.75" thickBot="1" x14ac:dyDescent="0.3">
      <c r="A12" s="1"/>
      <c r="B12" s="11">
        <f t="shared" si="0"/>
        <v>10</v>
      </c>
      <c r="C12" s="12" t="s">
        <v>2</v>
      </c>
      <c r="D12" s="9" t="s">
        <v>28</v>
      </c>
      <c r="E12" s="10" t="s">
        <v>89</v>
      </c>
      <c r="F12" s="9" t="s">
        <v>146</v>
      </c>
      <c r="G12" s="10" t="s">
        <v>188</v>
      </c>
      <c r="H12" s="9" t="s">
        <v>234</v>
      </c>
      <c r="I12" s="10" t="s">
        <v>274</v>
      </c>
      <c r="J12" s="9">
        <v>2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3</v>
      </c>
      <c r="D13" s="7" t="s">
        <v>29</v>
      </c>
      <c r="E13" s="8" t="s">
        <v>90</v>
      </c>
      <c r="F13" s="7" t="s">
        <v>147</v>
      </c>
      <c r="G13" s="8" t="s">
        <v>147</v>
      </c>
      <c r="H13" s="7" t="s">
        <v>236</v>
      </c>
      <c r="I13" s="8" t="s">
        <v>275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2</v>
      </c>
      <c r="D14" s="9" t="s">
        <v>30</v>
      </c>
      <c r="E14" s="10" t="s">
        <v>91</v>
      </c>
      <c r="F14" s="9" t="s">
        <v>148</v>
      </c>
      <c r="G14" s="10" t="s">
        <v>189</v>
      </c>
      <c r="H14" s="9" t="s">
        <v>237</v>
      </c>
      <c r="I14" s="10" t="s">
        <v>276</v>
      </c>
      <c r="J14" s="9">
        <v>1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2</v>
      </c>
      <c r="D15" s="7" t="s">
        <v>31</v>
      </c>
      <c r="E15" s="8" t="s">
        <v>92</v>
      </c>
      <c r="F15" s="7" t="s">
        <v>149</v>
      </c>
      <c r="G15" s="8" t="s">
        <v>190</v>
      </c>
      <c r="H15" s="7" t="s">
        <v>238</v>
      </c>
      <c r="I15" s="8" t="s">
        <v>277</v>
      </c>
      <c r="J15" s="7">
        <v>1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2</v>
      </c>
      <c r="D16" s="9" t="s">
        <v>32</v>
      </c>
      <c r="E16" s="10" t="s">
        <v>93</v>
      </c>
      <c r="F16" s="9" t="s">
        <v>142</v>
      </c>
      <c r="G16" s="10" t="s">
        <v>191</v>
      </c>
      <c r="H16" s="9" t="s">
        <v>238</v>
      </c>
      <c r="I16" s="10" t="s">
        <v>278</v>
      </c>
      <c r="J16" s="9">
        <v>6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4</v>
      </c>
      <c r="D17" s="7" t="s">
        <v>33</v>
      </c>
      <c r="E17" s="8" t="s">
        <v>94</v>
      </c>
      <c r="F17" s="7" t="s">
        <v>150</v>
      </c>
      <c r="G17" s="8" t="s">
        <v>192</v>
      </c>
      <c r="H17" s="7" t="s">
        <v>239</v>
      </c>
      <c r="I17" s="8" t="s">
        <v>192</v>
      </c>
      <c r="J17" s="7">
        <v>1</v>
      </c>
      <c r="K17" s="7"/>
    </row>
    <row r="18" spans="1:11" ht="26.25" thickBot="1" x14ac:dyDescent="0.3">
      <c r="A18" s="1"/>
      <c r="B18" s="11">
        <f t="shared" si="0"/>
        <v>16</v>
      </c>
      <c r="C18" s="13" t="s">
        <v>5</v>
      </c>
      <c r="D18" s="9" t="s">
        <v>34</v>
      </c>
      <c r="E18" s="10" t="s">
        <v>95</v>
      </c>
      <c r="F18" s="9" t="s">
        <v>151</v>
      </c>
      <c r="G18" s="10" t="s">
        <v>193</v>
      </c>
      <c r="H18" s="9" t="s">
        <v>240</v>
      </c>
      <c r="I18" s="10" t="s">
        <v>193</v>
      </c>
      <c r="J18" s="9">
        <v>1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4</v>
      </c>
      <c r="D19" s="7" t="s">
        <v>35</v>
      </c>
      <c r="E19" s="8" t="s">
        <v>96</v>
      </c>
      <c r="F19" s="7" t="s">
        <v>152</v>
      </c>
      <c r="G19" s="8" t="s">
        <v>194</v>
      </c>
      <c r="H19" s="7" t="s">
        <v>241</v>
      </c>
      <c r="I19" s="8" t="s">
        <v>194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4</v>
      </c>
      <c r="D20" s="9" t="s">
        <v>36</v>
      </c>
      <c r="E20" s="10" t="s">
        <v>97</v>
      </c>
      <c r="F20" s="9" t="s">
        <v>153</v>
      </c>
      <c r="G20" s="10" t="s">
        <v>195</v>
      </c>
      <c r="H20" s="9" t="s">
        <v>241</v>
      </c>
      <c r="I20" s="10" t="s">
        <v>195</v>
      </c>
      <c r="J20" s="9">
        <v>1</v>
      </c>
      <c r="K20" s="9"/>
    </row>
    <row r="21" spans="1:11" ht="36.75" thickBot="1" x14ac:dyDescent="0.3">
      <c r="A21" s="1"/>
      <c r="B21" s="11">
        <f>ROW(B21) - ROW($B$2)</f>
        <v>19</v>
      </c>
      <c r="C21" s="12" t="s">
        <v>4</v>
      </c>
      <c r="D21" s="7" t="s">
        <v>37</v>
      </c>
      <c r="E21" s="8" t="s">
        <v>98</v>
      </c>
      <c r="F21" s="7" t="s">
        <v>154</v>
      </c>
      <c r="G21" s="8" t="s">
        <v>196</v>
      </c>
      <c r="H21" s="7" t="s">
        <v>242</v>
      </c>
      <c r="I21" s="8" t="s">
        <v>196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6</v>
      </c>
      <c r="D22" s="9" t="s">
        <v>38</v>
      </c>
      <c r="E22" s="10" t="s">
        <v>99</v>
      </c>
      <c r="F22" s="9" t="s">
        <v>155</v>
      </c>
      <c r="G22" s="10" t="s">
        <v>155</v>
      </c>
      <c r="H22" s="9" t="s">
        <v>243</v>
      </c>
      <c r="I22" s="10" t="s">
        <v>155</v>
      </c>
      <c r="J22" s="9">
        <v>1</v>
      </c>
      <c r="K22" s="9"/>
    </row>
    <row r="23" spans="1:11" ht="60.75" thickBot="1" x14ac:dyDescent="0.3">
      <c r="A23" s="1"/>
      <c r="B23" s="11">
        <f>ROW(B23) - ROW($B$2)</f>
        <v>21</v>
      </c>
      <c r="C23" s="12" t="s">
        <v>7</v>
      </c>
      <c r="D23" s="7" t="s">
        <v>39</v>
      </c>
      <c r="E23" s="8" t="s">
        <v>100</v>
      </c>
      <c r="F23" s="7" t="s">
        <v>156</v>
      </c>
      <c r="G23" s="8" t="s">
        <v>156</v>
      </c>
      <c r="H23" s="7" t="s">
        <v>244</v>
      </c>
      <c r="I23" s="8" t="s">
        <v>156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/>
      <c r="D24" s="9" t="s">
        <v>40</v>
      </c>
      <c r="E24" s="10" t="s">
        <v>101</v>
      </c>
      <c r="F24" s="9" t="s">
        <v>157</v>
      </c>
      <c r="G24" s="10"/>
      <c r="H24" s="9"/>
      <c r="I24" s="10" t="s">
        <v>101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8</v>
      </c>
      <c r="D25" s="7" t="s">
        <v>41</v>
      </c>
      <c r="E25" s="8" t="s">
        <v>102</v>
      </c>
      <c r="F25" s="7" t="s">
        <v>158</v>
      </c>
      <c r="G25" s="8" t="s">
        <v>158</v>
      </c>
      <c r="H25" s="7"/>
      <c r="I25" s="8" t="s">
        <v>158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9</v>
      </c>
      <c r="D26" s="9" t="s">
        <v>42</v>
      </c>
      <c r="E26" s="10" t="s">
        <v>103</v>
      </c>
      <c r="F26" s="9" t="s">
        <v>159</v>
      </c>
      <c r="G26" s="10">
        <v>8266292</v>
      </c>
      <c r="H26" s="9" t="s">
        <v>245</v>
      </c>
      <c r="I26" s="10" t="s">
        <v>279</v>
      </c>
      <c r="J26" s="9">
        <v>1</v>
      </c>
      <c r="K26" s="9"/>
    </row>
    <row r="27" spans="1:11" ht="24.75" thickBot="1" x14ac:dyDescent="0.3">
      <c r="A27" s="1"/>
      <c r="B27" s="11">
        <f>ROW(B27) - ROW($B$2)</f>
        <v>25</v>
      </c>
      <c r="C27" s="13" t="s">
        <v>10</v>
      </c>
      <c r="D27" s="7" t="s">
        <v>43</v>
      </c>
      <c r="E27" s="8" t="s">
        <v>104</v>
      </c>
      <c r="F27" s="7" t="s">
        <v>160</v>
      </c>
      <c r="G27" s="8" t="s">
        <v>160</v>
      </c>
      <c r="H27" s="7" t="s">
        <v>246</v>
      </c>
      <c r="I27" s="8" t="s">
        <v>280</v>
      </c>
      <c r="J27" s="7">
        <v>1</v>
      </c>
      <c r="K27" s="7"/>
    </row>
    <row r="28" spans="1:11" ht="36.75" thickBot="1" x14ac:dyDescent="0.3">
      <c r="A28" s="1"/>
      <c r="B28" s="11">
        <f t="shared" si="0"/>
        <v>26</v>
      </c>
      <c r="C28" s="13" t="s">
        <v>10</v>
      </c>
      <c r="D28" s="9" t="s">
        <v>44</v>
      </c>
      <c r="E28" s="10" t="s">
        <v>105</v>
      </c>
      <c r="F28" s="9" t="s">
        <v>161</v>
      </c>
      <c r="G28" s="10" t="s">
        <v>161</v>
      </c>
      <c r="H28" s="9" t="s">
        <v>247</v>
      </c>
      <c r="I28" s="10" t="s">
        <v>281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10</v>
      </c>
      <c r="D29" s="7" t="s">
        <v>45</v>
      </c>
      <c r="E29" s="8" t="s">
        <v>106</v>
      </c>
      <c r="F29" s="7" t="s">
        <v>162</v>
      </c>
      <c r="G29" s="8" t="s">
        <v>197</v>
      </c>
      <c r="H29" s="7" t="s">
        <v>232</v>
      </c>
      <c r="I29" s="8" t="s">
        <v>282</v>
      </c>
      <c r="J29" s="7">
        <v>1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10</v>
      </c>
      <c r="D30" s="9" t="s">
        <v>46</v>
      </c>
      <c r="E30" s="10" t="s">
        <v>107</v>
      </c>
      <c r="F30" s="9" t="s">
        <v>162</v>
      </c>
      <c r="G30" s="10" t="s">
        <v>198</v>
      </c>
      <c r="H30" s="9" t="s">
        <v>232</v>
      </c>
      <c r="I30" s="10" t="s">
        <v>283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10</v>
      </c>
      <c r="D31" s="7" t="s">
        <v>47</v>
      </c>
      <c r="E31" s="8" t="s">
        <v>108</v>
      </c>
      <c r="F31" s="7" t="s">
        <v>162</v>
      </c>
      <c r="G31" s="8" t="s">
        <v>199</v>
      </c>
      <c r="H31" s="7" t="s">
        <v>248</v>
      </c>
      <c r="I31" s="8" t="s">
        <v>284</v>
      </c>
      <c r="J31" s="7">
        <v>1</v>
      </c>
      <c r="K31" s="7"/>
    </row>
    <row r="32" spans="1:11" ht="36.75" thickBot="1" x14ac:dyDescent="0.3">
      <c r="A32" s="1"/>
      <c r="B32" s="11">
        <f t="shared" si="0"/>
        <v>30</v>
      </c>
      <c r="C32" s="13" t="s">
        <v>11</v>
      </c>
      <c r="D32" s="9" t="s">
        <v>48</v>
      </c>
      <c r="E32" s="10" t="s">
        <v>109</v>
      </c>
      <c r="F32" s="9" t="s">
        <v>163</v>
      </c>
      <c r="G32" s="10" t="s">
        <v>200</v>
      </c>
      <c r="H32" s="9" t="s">
        <v>249</v>
      </c>
      <c r="I32" s="10" t="s">
        <v>200</v>
      </c>
      <c r="J32" s="9">
        <v>1</v>
      </c>
      <c r="K32" s="9"/>
    </row>
    <row r="33" spans="1:11" ht="24.75" thickBot="1" x14ac:dyDescent="0.3">
      <c r="A33" s="1"/>
      <c r="B33" s="11">
        <f>ROW(B33) - ROW($B$2)</f>
        <v>31</v>
      </c>
      <c r="C33" s="13" t="s">
        <v>12</v>
      </c>
      <c r="D33" s="7" t="s">
        <v>49</v>
      </c>
      <c r="E33" s="8" t="s">
        <v>110</v>
      </c>
      <c r="F33" s="7" t="s">
        <v>164</v>
      </c>
      <c r="G33" s="8" t="s">
        <v>201</v>
      </c>
      <c r="H33" s="7"/>
      <c r="I33" s="8" t="s">
        <v>285</v>
      </c>
      <c r="J33" s="7">
        <v>2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12</v>
      </c>
      <c r="D34" s="9" t="s">
        <v>50</v>
      </c>
      <c r="E34" s="10" t="s">
        <v>111</v>
      </c>
      <c r="F34" s="9" t="s">
        <v>165</v>
      </c>
      <c r="G34" s="10" t="s">
        <v>202</v>
      </c>
      <c r="H34" s="9" t="s">
        <v>250</v>
      </c>
      <c r="I34" s="10" t="s">
        <v>286</v>
      </c>
      <c r="J34" s="9">
        <v>1</v>
      </c>
      <c r="K34" s="9"/>
    </row>
    <row r="35" spans="1:11" ht="36.75" thickBot="1" x14ac:dyDescent="0.3">
      <c r="A35" s="1"/>
      <c r="B35" s="11">
        <f>ROW(B35) - ROW($B$2)</f>
        <v>33</v>
      </c>
      <c r="C35" s="12" t="s">
        <v>12</v>
      </c>
      <c r="D35" s="7" t="s">
        <v>51</v>
      </c>
      <c r="E35" s="8" t="s">
        <v>112</v>
      </c>
      <c r="F35" s="7" t="s">
        <v>165</v>
      </c>
      <c r="G35" s="8" t="s">
        <v>203</v>
      </c>
      <c r="H35" s="7" t="s">
        <v>251</v>
      </c>
      <c r="I35" s="8" t="s">
        <v>287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12</v>
      </c>
      <c r="D36" s="9" t="s">
        <v>52</v>
      </c>
      <c r="E36" s="10" t="s">
        <v>113</v>
      </c>
      <c r="F36" s="9" t="s">
        <v>165</v>
      </c>
      <c r="G36" s="10" t="s">
        <v>204</v>
      </c>
      <c r="H36" s="9" t="s">
        <v>250</v>
      </c>
      <c r="I36" s="10" t="s">
        <v>288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12</v>
      </c>
      <c r="D37" s="7" t="s">
        <v>53</v>
      </c>
      <c r="E37" s="8" t="s">
        <v>114</v>
      </c>
      <c r="F37" s="7" t="s">
        <v>165</v>
      </c>
      <c r="G37" s="8" t="s">
        <v>205</v>
      </c>
      <c r="H37" s="7" t="s">
        <v>235</v>
      </c>
      <c r="I37" s="8" t="s">
        <v>289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12</v>
      </c>
      <c r="D38" s="9" t="s">
        <v>54</v>
      </c>
      <c r="E38" s="10" t="s">
        <v>115</v>
      </c>
      <c r="F38" s="9" t="s">
        <v>165</v>
      </c>
      <c r="G38" s="10" t="s">
        <v>206</v>
      </c>
      <c r="H38" s="9" t="s">
        <v>235</v>
      </c>
      <c r="I38" s="10" t="s">
        <v>290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13</v>
      </c>
      <c r="D39" s="7" t="s">
        <v>55</v>
      </c>
      <c r="E39" s="8" t="s">
        <v>116</v>
      </c>
      <c r="F39" s="7" t="s">
        <v>166</v>
      </c>
      <c r="G39" s="8" t="s">
        <v>207</v>
      </c>
      <c r="H39" s="7" t="s">
        <v>247</v>
      </c>
      <c r="I39" s="8" t="s">
        <v>290</v>
      </c>
      <c r="J39" s="7">
        <v>5</v>
      </c>
      <c r="K39" s="7"/>
    </row>
    <row r="40" spans="1:11" ht="15.75" thickBot="1" x14ac:dyDescent="0.3">
      <c r="A40" s="1"/>
      <c r="B40" s="11">
        <f t="shared" si="0"/>
        <v>38</v>
      </c>
      <c r="C40" s="12" t="s">
        <v>12</v>
      </c>
      <c r="D40" s="9" t="s">
        <v>56</v>
      </c>
      <c r="E40" s="10" t="s">
        <v>117</v>
      </c>
      <c r="F40" s="9" t="s">
        <v>167</v>
      </c>
      <c r="G40" s="10" t="s">
        <v>208</v>
      </c>
      <c r="H40" s="9" t="s">
        <v>252</v>
      </c>
      <c r="I40" s="10" t="s">
        <v>291</v>
      </c>
      <c r="J40" s="9">
        <v>1</v>
      </c>
      <c r="K40" s="9"/>
    </row>
    <row r="41" spans="1:11" ht="36.75" thickBot="1" x14ac:dyDescent="0.3">
      <c r="A41" s="1"/>
      <c r="B41" s="11">
        <f>ROW(B41) - ROW($B$2)</f>
        <v>39</v>
      </c>
      <c r="C41" s="12" t="s">
        <v>12</v>
      </c>
      <c r="D41" s="7" t="s">
        <v>57</v>
      </c>
      <c r="E41" s="8" t="s">
        <v>118</v>
      </c>
      <c r="F41" s="7" t="s">
        <v>168</v>
      </c>
      <c r="G41" s="8" t="s">
        <v>209</v>
      </c>
      <c r="H41" s="7" t="s">
        <v>250</v>
      </c>
      <c r="I41" s="8" t="s">
        <v>292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12</v>
      </c>
      <c r="D42" s="9" t="s">
        <v>58</v>
      </c>
      <c r="E42" s="10" t="s">
        <v>119</v>
      </c>
      <c r="F42" s="9" t="s">
        <v>164</v>
      </c>
      <c r="G42" s="10" t="s">
        <v>210</v>
      </c>
      <c r="H42" s="9" t="s">
        <v>235</v>
      </c>
      <c r="I42" s="10" t="s">
        <v>293</v>
      </c>
      <c r="J42" s="9">
        <v>2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12</v>
      </c>
      <c r="D43" s="7" t="s">
        <v>59</v>
      </c>
      <c r="E43" s="8" t="s">
        <v>120</v>
      </c>
      <c r="F43" s="7" t="s">
        <v>167</v>
      </c>
      <c r="G43" s="8" t="s">
        <v>211</v>
      </c>
      <c r="H43" s="7" t="s">
        <v>253</v>
      </c>
      <c r="I43" s="8" t="s">
        <v>290</v>
      </c>
      <c r="J43" s="7">
        <v>1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12</v>
      </c>
      <c r="D44" s="9" t="s">
        <v>60</v>
      </c>
      <c r="E44" s="10" t="s">
        <v>121</v>
      </c>
      <c r="F44" s="9" t="s">
        <v>165</v>
      </c>
      <c r="G44" s="10" t="s">
        <v>212</v>
      </c>
      <c r="H44" s="9" t="s">
        <v>254</v>
      </c>
      <c r="I44" s="10" t="s">
        <v>294</v>
      </c>
      <c r="J44" s="9">
        <v>1</v>
      </c>
      <c r="K44" s="9"/>
    </row>
    <row r="45" spans="1:11" ht="36.75" thickBot="1" x14ac:dyDescent="0.3">
      <c r="A45" s="1"/>
      <c r="B45" s="11">
        <f>ROW(B45) - ROW($B$2)</f>
        <v>43</v>
      </c>
      <c r="C45" s="12" t="s">
        <v>12</v>
      </c>
      <c r="D45" s="7" t="s">
        <v>61</v>
      </c>
      <c r="E45" s="8" t="s">
        <v>122</v>
      </c>
      <c r="F45" s="7" t="s">
        <v>165</v>
      </c>
      <c r="G45" s="8" t="s">
        <v>213</v>
      </c>
      <c r="H45" s="7" t="s">
        <v>255</v>
      </c>
      <c r="I45" s="8" t="s">
        <v>295</v>
      </c>
      <c r="J45" s="7">
        <v>1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12</v>
      </c>
      <c r="D46" s="9" t="s">
        <v>62</v>
      </c>
      <c r="E46" s="10" t="s">
        <v>123</v>
      </c>
      <c r="F46" s="9" t="s">
        <v>165</v>
      </c>
      <c r="G46" s="10" t="s">
        <v>214</v>
      </c>
      <c r="H46" s="9" t="s">
        <v>238</v>
      </c>
      <c r="I46" s="10" t="s">
        <v>296</v>
      </c>
      <c r="J46" s="9">
        <v>2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12</v>
      </c>
      <c r="D47" s="7" t="s">
        <v>63</v>
      </c>
      <c r="E47" s="8" t="s">
        <v>124</v>
      </c>
      <c r="F47" s="7" t="s">
        <v>165</v>
      </c>
      <c r="G47" s="8" t="s">
        <v>215</v>
      </c>
      <c r="H47" s="7" t="s">
        <v>238</v>
      </c>
      <c r="I47" s="8" t="s">
        <v>297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13</v>
      </c>
      <c r="D48" s="9" t="s">
        <v>64</v>
      </c>
      <c r="E48" s="10" t="s">
        <v>125</v>
      </c>
      <c r="F48" s="9" t="s">
        <v>169</v>
      </c>
      <c r="G48" s="10" t="s">
        <v>216</v>
      </c>
      <c r="H48" s="9" t="s">
        <v>247</v>
      </c>
      <c r="I48" s="10" t="s">
        <v>298</v>
      </c>
      <c r="J48" s="9">
        <v>1</v>
      </c>
      <c r="K48" s="9"/>
    </row>
    <row r="49" spans="1:11" ht="36.75" thickBot="1" x14ac:dyDescent="0.3">
      <c r="A49" s="1"/>
      <c r="B49" s="11">
        <f>ROW(B49) - ROW($B$2)</f>
        <v>47</v>
      </c>
      <c r="C49" s="12" t="s">
        <v>12</v>
      </c>
      <c r="D49" s="7" t="s">
        <v>65</v>
      </c>
      <c r="E49" s="8" t="s">
        <v>126</v>
      </c>
      <c r="F49" s="7" t="s">
        <v>165</v>
      </c>
      <c r="G49" s="8" t="s">
        <v>217</v>
      </c>
      <c r="H49" s="7" t="s">
        <v>251</v>
      </c>
      <c r="I49" s="8" t="s">
        <v>299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12</v>
      </c>
      <c r="D50" s="9" t="s">
        <v>66</v>
      </c>
      <c r="E50" s="10" t="s">
        <v>127</v>
      </c>
      <c r="F50" s="9" t="s">
        <v>165</v>
      </c>
      <c r="G50" s="10" t="s">
        <v>218</v>
      </c>
      <c r="H50" s="9" t="s">
        <v>235</v>
      </c>
      <c r="I50" s="10" t="s">
        <v>300</v>
      </c>
      <c r="J50" s="9">
        <v>1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12</v>
      </c>
      <c r="D51" s="7" t="s">
        <v>67</v>
      </c>
      <c r="E51" s="8" t="s">
        <v>128</v>
      </c>
      <c r="F51" s="7" t="s">
        <v>165</v>
      </c>
      <c r="G51" s="8" t="s">
        <v>219</v>
      </c>
      <c r="H51" s="7" t="s">
        <v>256</v>
      </c>
      <c r="I51" s="8" t="s">
        <v>301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14</v>
      </c>
      <c r="D52" s="9" t="s">
        <v>68</v>
      </c>
      <c r="E52" s="10" t="s">
        <v>129</v>
      </c>
      <c r="F52" s="9" t="s">
        <v>170</v>
      </c>
      <c r="G52" s="10" t="s">
        <v>170</v>
      </c>
      <c r="H52" s="9" t="s">
        <v>257</v>
      </c>
      <c r="I52" s="10" t="s">
        <v>170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15</v>
      </c>
      <c r="D53" s="7" t="s">
        <v>69</v>
      </c>
      <c r="E53" s="8" t="s">
        <v>130</v>
      </c>
      <c r="F53" s="7" t="s">
        <v>171</v>
      </c>
      <c r="G53" s="8" t="s">
        <v>220</v>
      </c>
      <c r="H53" s="7" t="s">
        <v>258</v>
      </c>
      <c r="I53" s="8" t="s">
        <v>220</v>
      </c>
      <c r="J53" s="7">
        <v>1</v>
      </c>
      <c r="K53" s="7"/>
    </row>
    <row r="54" spans="1:11" ht="36.75" thickBot="1" x14ac:dyDescent="0.3">
      <c r="A54" s="1"/>
      <c r="B54" s="11">
        <f t="shared" si="0"/>
        <v>52</v>
      </c>
      <c r="C54" s="13" t="s">
        <v>16</v>
      </c>
      <c r="D54" s="9" t="s">
        <v>70</v>
      </c>
      <c r="E54" s="10" t="s">
        <v>131</v>
      </c>
      <c r="F54" s="9" t="s">
        <v>172</v>
      </c>
      <c r="G54" s="10" t="s">
        <v>221</v>
      </c>
      <c r="H54" s="9" t="s">
        <v>259</v>
      </c>
      <c r="I54" s="10" t="s">
        <v>221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16</v>
      </c>
      <c r="D55" s="7" t="s">
        <v>71</v>
      </c>
      <c r="E55" s="8" t="s">
        <v>132</v>
      </c>
      <c r="F55" s="7" t="s">
        <v>173</v>
      </c>
      <c r="G55" s="8" t="s">
        <v>222</v>
      </c>
      <c r="H55" s="7" t="s">
        <v>260</v>
      </c>
      <c r="I55" s="8" t="s">
        <v>222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16</v>
      </c>
      <c r="D56" s="9" t="s">
        <v>72</v>
      </c>
      <c r="E56" s="10" t="s">
        <v>133</v>
      </c>
      <c r="F56" s="9" t="s">
        <v>174</v>
      </c>
      <c r="G56" s="10" t="s">
        <v>223</v>
      </c>
      <c r="H56" s="9" t="s">
        <v>261</v>
      </c>
      <c r="I56" s="10" t="s">
        <v>223</v>
      </c>
      <c r="J56" s="9">
        <v>1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16</v>
      </c>
      <c r="D57" s="7" t="s">
        <v>73</v>
      </c>
      <c r="E57" s="8" t="s">
        <v>134</v>
      </c>
      <c r="F57" s="7" t="s">
        <v>175</v>
      </c>
      <c r="G57" s="8" t="s">
        <v>224</v>
      </c>
      <c r="H57" s="7" t="s">
        <v>262</v>
      </c>
      <c r="I57" s="8" t="s">
        <v>224</v>
      </c>
      <c r="J57" s="7">
        <v>1</v>
      </c>
      <c r="K57" s="7"/>
    </row>
    <row r="58" spans="1:11" ht="24.75" thickBot="1" x14ac:dyDescent="0.3">
      <c r="A58" s="1"/>
      <c r="B58" s="11">
        <f t="shared" si="0"/>
        <v>56</v>
      </c>
      <c r="C58" s="13" t="s">
        <v>16</v>
      </c>
      <c r="D58" s="9" t="s">
        <v>74</v>
      </c>
      <c r="E58" s="10" t="s">
        <v>135</v>
      </c>
      <c r="F58" s="9" t="s">
        <v>176</v>
      </c>
      <c r="G58" s="10" t="s">
        <v>225</v>
      </c>
      <c r="H58" s="9" t="s">
        <v>263</v>
      </c>
      <c r="I58" s="10" t="s">
        <v>225</v>
      </c>
      <c r="J58" s="9">
        <v>1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16</v>
      </c>
      <c r="D59" s="7" t="s">
        <v>75</v>
      </c>
      <c r="E59" s="8" t="s">
        <v>136</v>
      </c>
      <c r="F59" s="7" t="s">
        <v>177</v>
      </c>
      <c r="G59" s="8" t="s">
        <v>226</v>
      </c>
      <c r="H59" s="7" t="s">
        <v>264</v>
      </c>
      <c r="I59" s="8" t="s">
        <v>226</v>
      </c>
      <c r="J59" s="7">
        <v>1</v>
      </c>
      <c r="K59" s="7"/>
    </row>
    <row r="60" spans="1:11" ht="36.75" thickBot="1" x14ac:dyDescent="0.3">
      <c r="A60" s="1"/>
      <c r="B60" s="11">
        <f t="shared" si="0"/>
        <v>58</v>
      </c>
      <c r="C60" s="13" t="s">
        <v>16</v>
      </c>
      <c r="D60" s="9" t="s">
        <v>76</v>
      </c>
      <c r="E60" s="10" t="s">
        <v>137</v>
      </c>
      <c r="F60" s="9" t="s">
        <v>172</v>
      </c>
      <c r="G60" s="10" t="s">
        <v>227</v>
      </c>
      <c r="H60" s="9" t="s">
        <v>260</v>
      </c>
      <c r="I60" s="10" t="s">
        <v>227</v>
      </c>
      <c r="J60" s="9">
        <v>3</v>
      </c>
      <c r="K60" s="9"/>
    </row>
    <row r="61" spans="1:11" ht="36.75" thickBot="1" x14ac:dyDescent="0.3">
      <c r="A61" s="1"/>
      <c r="B61" s="11">
        <f>ROW(B61) - ROW($B$2)</f>
        <v>59</v>
      </c>
      <c r="C61" s="12" t="s">
        <v>16</v>
      </c>
      <c r="D61" s="7" t="s">
        <v>77</v>
      </c>
      <c r="E61" s="8" t="s">
        <v>138</v>
      </c>
      <c r="F61" s="7" t="s">
        <v>172</v>
      </c>
      <c r="G61" s="8" t="s">
        <v>228</v>
      </c>
      <c r="H61" s="7" t="s">
        <v>265</v>
      </c>
      <c r="I61" s="8" t="s">
        <v>228</v>
      </c>
      <c r="J61" s="7">
        <v>1</v>
      </c>
      <c r="K61" s="7"/>
    </row>
    <row r="62" spans="1:11" ht="24.75" thickBot="1" x14ac:dyDescent="0.3">
      <c r="A62" s="1"/>
      <c r="B62" s="11">
        <f t="shared" si="0"/>
        <v>60</v>
      </c>
      <c r="C62" s="13" t="s">
        <v>17</v>
      </c>
      <c r="D62" s="9" t="s">
        <v>78</v>
      </c>
      <c r="E62" s="10" t="s">
        <v>139</v>
      </c>
      <c r="F62" s="9" t="s">
        <v>178</v>
      </c>
      <c r="G62" s="10" t="s">
        <v>229</v>
      </c>
      <c r="H62" s="9" t="s">
        <v>266</v>
      </c>
      <c r="I62" s="10" t="s">
        <v>302</v>
      </c>
      <c r="J62" s="9">
        <v>1</v>
      </c>
      <c r="K6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2024-06-08T10:32:26Z</dcterms:modified>
</cp:coreProperties>
</file>